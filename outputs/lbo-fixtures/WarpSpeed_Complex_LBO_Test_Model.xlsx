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2034543c2842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0a83a92ca7d54e71"/>
    <x:sheet xmlns:r="http://schemas.openxmlformats.org/officeDocument/2006/relationships" name="Assumptions" sheetId="2" r:id="Rc060304eedb74a16"/>
    <x:sheet xmlns:r="http://schemas.openxmlformats.org/officeDocument/2006/relationships" name="Operating Model" sheetId="3" r:id="R841e27ae9a674e6b"/>
    <x:sheet xmlns:r="http://schemas.openxmlformats.org/officeDocument/2006/relationships" name="Debt Schedule" sheetId="4" r:id="R473e985ebeeb43e1"/>
    <x:sheet xmlns:r="http://schemas.openxmlformats.org/officeDocument/2006/relationships" name="Returns" sheetId="5" r:id="Rfde8d56742174a21"/>
    <x:sheet xmlns:r="http://schemas.openxmlformats.org/officeDocument/2006/relationships" name="Sensitivity Tables" sheetId="6" r:id="Rb55ca3899c1e4d07"/>
    <x:sheet xmlns:r="http://schemas.openxmlformats.org/officeDocument/2006/relationships" name="Data Table Specs" sheetId="7" r:id="R22f5614a29394972"/>
    <x:sheet xmlns:r="http://schemas.openxmlformats.org/officeDocument/2006/relationships" name="Checks" sheetId="8" r:id="R3a7f97f1b63843f2"/>
    <x:sheet xmlns:r="http://schemas.openxmlformats.org/officeDocument/2006/relationships" name="Sources Audit" sheetId="9" r:id="Rb48276dce9c24e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%;[Red](0.0%);-"/>
    <x:numFmt numFmtId="201" formatCode="0.0x;[Red](0.0x);-"/>
    <x:numFmt numFmtId="202" formatCode="$#,##0;[Red]($#,##0);-"/>
    <x:numFmt numFmtId="203" formatCode="0.000x"/>
    <x:numFmt numFmtId="204" formatCode="#,##0;[Red](#,##0);-"/>
  </x:numFmts>
  <x:fonts count="12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b/>
      <x:sz val="16"/>
      <x:color rgb="FFFFFFFF"/>
      <x:name val="Arial"/>
    </x:font>
    <x:font>
      <x:b/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b/>
      <x:sz val="11"/>
      <x:color rgb="FF0000FF"/>
      <x:name val="Carlito"/>
    </x:font>
    <x:font>
      <x:sz val="11"/>
      <x:color rgb="FF008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14">
    <x:border/>
    <x:border>
      <x:left style="thin">
        <x:color rgb="FFB7C9D6"/>
      </x:left>
      <x:right style="thin">
        <x:color rgb="FFB7C9D6"/>
      </x:right>
      <x:top style="thin">
        <x:color rgb="FFB7C9D6"/>
      </x:top>
    </x:border>
    <x:border>
      <x:left style="thin">
        <x:color rgb="FFB7C9D6"/>
      </x:left>
      <x:right style="thin">
        <x:color rgb="FFB7C9D6"/>
      </x:right>
    </x:border>
    <x:border>
      <x:left style="thin">
        <x:color rgb="FFB7C9D6"/>
      </x:left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6" fillId="3" borderId="2" xfId="0" applyNumberFormat="1" applyFont="1" applyFill="1" applyBorder="1"/>
    <x:xf numFmtId="0" fontId="6" fillId="3" borderId="3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7" fillId="2" borderId="0" xfId="0" applyNumberFormat="1" applyFont="1" applyFill="1" applyBorder="1"/>
    <x:xf numFmtId="0" fontId="8" fillId="2" borderId="0" xfId="0" applyNumberFormat="1" applyFont="1" applyFill="1" applyBorder="1"/>
    <x:xf numFmtId="0" fontId="9" fillId="0" borderId="0" xfId="0" applyNumberFormat="1" applyFont="1" applyFill="1" applyBorder="1"/>
    <x:xf numFmtId="0" fontId="9" fillId="4" borderId="0" xfId="0" applyNumberFormat="1" applyFont="1" applyFill="1" applyBorder="1"/>
    <x:xf numFmtId="200" fontId="9" fillId="4" borderId="0" xfId="0" applyNumberFormat="1" applyFont="1" applyFill="1" applyBorder="1"/>
    <x:xf numFmtId="201" fontId="9" fillId="4" borderId="0" xfId="0" applyNumberFormat="1" applyFont="1" applyFill="1" applyBorder="1"/>
    <x:xf numFmtId="0" fontId="6" fillId="3" borderId="4" xfId="0" applyNumberFormat="1" applyFont="1" applyFill="1" applyBorder="1"/>
    <x:xf numFmtId="0" fontId="6" fillId="3" borderId="5" xfId="0" applyNumberFormat="1" applyFont="1" applyFill="1" applyBorder="1"/>
    <x:xf numFmtId="0" fontId="6" fillId="3" borderId="6" xfId="0" applyNumberFormat="1" applyFont="1" applyFill="1" applyBorder="1"/>
    <x:xf numFmtId="0" fontId="6" fillId="3" borderId="7" xfId="0" applyNumberFormat="1" applyFont="1" applyFill="1" applyBorder="1"/>
    <x:xf numFmtId="0" fontId="6" fillId="3" borderId="8" xfId="0" applyNumberFormat="1" applyFont="1" applyFill="1" applyBorder="1"/>
    <x:xf numFmtId="0" fontId="6" fillId="3" borderId="9" xfId="0" applyNumberFormat="1" applyFont="1" applyFill="1" applyBorder="1"/>
    <x:xf numFmtId="0" fontId="6" fillId="3" borderId="10" xfId="0" applyNumberFormat="1" applyFont="1" applyFill="1" applyBorder="1"/>
    <x:xf numFmtId="0" fontId="6" fillId="3" borderId="11" xfId="0" applyNumberFormat="1" applyFont="1" applyFill="1" applyBorder="1"/>
    <x:xf numFmtId="0" fontId="6" fillId="3" borderId="12" xfId="0" applyNumberFormat="1" applyFont="1" applyFill="1" applyBorder="1"/>
    <x:xf numFmtId="0" fontId="10" fillId="3" borderId="8" xfId="0" applyNumberFormat="1" applyFont="1" applyFill="1" applyBorder="1"/>
    <x:xf numFmtId="0" fontId="10" fillId="4" borderId="8" xfId="0" applyNumberFormat="1" applyFont="1" applyFill="1" applyBorder="1"/>
    <x:xf numFmtId="0" fontId="11" fillId="0" borderId="0" xfId="0" applyNumberFormat="1" applyFont="1" applyFill="1" applyBorder="1"/>
    <x:xf numFmtId="202" fontId="11" fillId="0" borderId="0" xfId="0" applyNumberFormat="1" applyFont="1" applyFill="1" applyBorder="1"/>
    <x:xf numFmtId="200" fontId="11" fillId="0" borderId="0" xfId="0" applyNumberFormat="1" applyFont="1" applyFill="1" applyBorder="1"/>
    <x:xf numFmtId="203" fontId="11" fillId="0" borderId="0" xfId="0" applyNumberFormat="1" applyFont="1" applyFill="1" applyBorder="1"/>
    <x:xf numFmtId="201" fontId="11" fillId="0" borderId="0" xfId="0" applyNumberFormat="1" applyFont="1" applyFill="1" applyBorder="1"/>
    <x:xf numFmtId="200" fontId="0" fillId="0" borderId="0" xfId="0" applyNumberFormat="1" applyFont="1" applyFill="1" applyBorder="1"/>
    <x:xf numFmtId="200" fontId="9" fillId="0" borderId="0" xfId="0" applyNumberFormat="1" applyFont="1" applyFill="1" applyBorder="1"/>
    <x:xf numFmtId="0" fontId="0" fillId="0" borderId="13" xfId="0" applyNumberFormat="1" applyFont="1" applyFill="1" applyBorder="1"/>
    <x:xf numFmtId="201" fontId="0" fillId="0" borderId="13" xfId="0" applyNumberFormat="1" applyFont="1" applyFill="1" applyBorder="1"/>
    <x:xf numFmtId="200" fontId="0" fillId="0" borderId="13" xfId="0" applyNumberFormat="1" applyFont="1" applyFill="1" applyBorder="1"/>
    <x:xf numFmtId="204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8dcd1a317242c8" /><Relationship Type="http://schemas.openxmlformats.org/officeDocument/2006/relationships/theme" Target="/xl/theme/theme1.xml" Id="R87eda9b7d44142fa" /><Relationship Type="http://schemas.openxmlformats.org/officeDocument/2006/relationships/sharedStrings" Target="/xl/sharedStrings.xml" Id="Rb2c8046fe50f42ba" /><Relationship Type="http://schemas.openxmlformats.org/officeDocument/2006/relationships/worksheet" Target="/xl/worksheets/sheet1.xml" Id="R0a83a92ca7d54e71" /><Relationship Type="http://schemas.openxmlformats.org/officeDocument/2006/relationships/worksheet" Target="/xl/worksheets/sheet2.xml" Id="Rc060304eedb74a16" /><Relationship Type="http://schemas.openxmlformats.org/officeDocument/2006/relationships/worksheet" Target="/xl/worksheets/sheet3.xml" Id="R841e27ae9a674e6b" /><Relationship Type="http://schemas.openxmlformats.org/officeDocument/2006/relationships/worksheet" Target="/xl/worksheets/sheet4.xml" Id="R473e985ebeeb43e1" /><Relationship Type="http://schemas.openxmlformats.org/officeDocument/2006/relationships/worksheet" Target="/xl/worksheets/sheet5.xml" Id="Rfde8d56742174a21" /><Relationship Type="http://schemas.openxmlformats.org/officeDocument/2006/relationships/worksheet" Target="/xl/worksheets/sheet6.xml" Id="Rb55ca3899c1e4d07" /><Relationship Type="http://schemas.openxmlformats.org/officeDocument/2006/relationships/worksheet" Target="/xl/worksheets/sheet7.xml" Id="R22f5614a29394972" /><Relationship Type="http://schemas.openxmlformats.org/officeDocument/2006/relationships/worksheet" Target="/xl/worksheets/sheet8.xml" Id="R3a7f97f1b63843f2" /><Relationship Type="http://schemas.openxmlformats.org/officeDocument/2006/relationships/worksheet" Target="/xl/worksheets/sheet9.xml" Id="Rb48276dce9c24e0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.66999816894531" hidden="0" customWidth="1"/>
    <x:col min="2" max="2" width="73.66999816894531" hidden="0" customWidth="1"/>
  </x:cols>
  <x:sheetData>
    <x:row r="1" ht="19.200000762939453" hidden="0" customHeight="1">
      <x:c r="A1" s="6" t="str">
        <x:v>WarpSpeed Complex LBO Recalculation Test Model</x:v>
      </x:c>
      <x:c r="B1" s="6"/>
      <x:c r="C1" s="6"/>
      <x:c r="D1" s="6"/>
      <x:c r="E1" s="6"/>
      <x:c r="F1" s="6"/>
      <x:c r="G1" s="6"/>
      <x:c r="H1" s="6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/>
    <x:row r="3" ht="15" hidden="0" customHeight="1">
      <x:c r="A3" s="9" t="str">
        <x:v>Purpose</x:v>
      </x:c>
      <x:c r="B3" s="12" t="str">
        <x:v>Formula-heavy synthetic LBO workbook for testing WarpSpeed / IronCalc full-workbook calculation.</x:v>
      </x:c>
    </x:row>
    <x:row r="4" ht="15" hidden="0" customHeight="1">
      <x:c r="A4" s="10" t="str">
        <x:v>Currency</x:v>
      </x:c>
      <x:c r="B4" s="12" t="str">
        <x:v>$ in millions</x:v>
      </x:c>
    </x:row>
    <x:row r="5" ht="15" hidden="0" customHeight="1">
      <x:c r="A5" s="10" t="str">
        <x:v>Version</x:v>
      </x:c>
      <x:c r="B5" s="12" t="str">
        <x:v>v0.1 synthetic fixture</x:v>
      </x:c>
    </x:row>
    <x:row r="6" ht="15" hidden="0" customHeight="1">
      <x:c r="A6" s="10" t="str">
        <x:v>Forecast period</x:v>
      </x:c>
      <x:c r="B6" s="12" t="str">
        <x:v>2026E-2031E</x:v>
      </x:c>
    </x:row>
    <x:row r="7" ht="15" hidden="0" customHeight="1">
      <x:c r="A7" s="10" t="str">
        <x:v>Primary stress area</x:v>
      </x:c>
      <x:c r="B7" s="12" t="str">
        <x:v>Many sensitivity grids with cross-sheet formulas</x:v>
      </x:c>
    </x:row>
    <x:row r="8" ht="15" hidden="0" customHeight="1">
      <x:c r="A8" s="10" t="str">
        <x:v>Formula policy</x:v>
      </x:c>
      <x:c r="B8" s="12" t="str">
        <x:v>Inputs are blue/yellow; formulas are black; cross-sheet links are green</x:v>
      </x:c>
    </x:row>
    <x:row r="9" ht="15" hidden="0" customHeight="1">
      <x:c r="A9" s="10" t="str">
        <x:v>Model status</x:v>
      </x:c>
      <x:c r="B9" s="12" t="str">
        <x:f>'Checks'!F4</x:f>
        <x:v>OK</x:v>
      </x:c>
    </x:row>
    <x:row r="10" ht="15" hidden="0" customHeight="1">
      <x:c r="A10" s="10" t="str">
        <x:v>Primary output</x:v>
      </x:c>
      <x:c r="B10" s="12" t="str">
        <x:v>Sponsor IRR / MOIC</x:v>
      </x:c>
    </x:row>
    <x:row r="11" ht="15" hidden="0" customHeight="1">
      <x:c r="A11" s="10" t="str">
        <x:v>Note</x:v>
      </x:c>
      <x:c r="B11" s="12" t="str">
        <x:v>The sensitivity sheets are data-table-style formula grids, not Excel native DataTable objects.</x:v>
      </x:c>
    </x:row>
    <x:row r="12" ht="15" hidden="0" customHeight="1">
      <x:c r="A12" s="11" t="str">
        <x:v>Local use</x:v>
      </x:c>
      <x:c r="B12" s="12" t="str">
        <x:v>Store third-party downloaded models in fixtures/external; this synthetic model is safe to commit/use.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670000076293945" hidden="0" customWidth="1"/>
    <x:col min="2" max="2" width="18.440000534057617" hidden="0" customWidth="1"/>
    <x:col min="3" max="3" width="18.440000534057617" hidden="0" customWidth="1"/>
    <x:col min="4" max="4" width="17.559999465942383" hidden="0" customWidth="1"/>
    <x:col min="5" max="5" width="17.559999465942383" hidden="0" customWidth="1"/>
    <x:col min="6" max="6" width="17.559999465942383" hidden="0" customWidth="1"/>
    <x:col min="7" max="7" width="17.559999465942383" hidden="0" customWidth="1"/>
    <x:col min="8" max="8" width="17.559999465942383" hidden="0" customWidth="1"/>
    <x:col min="9" max="9" width="17.559999465942383" hidden="0" customWidth="1"/>
    <x:col min="10" max="10" width="17.559999465942383" hidden="0" customWidth="1"/>
    <x:col min="12" max="12" width="13.4399995803833" hidden="0" customWidth="1"/>
    <x:col min="13" max="13" width="16" hidden="0" customWidth="1"/>
    <x:col min="14" max="14" width="14.890000343322754" hidden="0" customWidth="1"/>
  </x:cols>
  <x:sheetData>
    <x:row r="1" ht="19.200000762939453" hidden="0" customHeight="1">
      <x:c r="A1" s="6" t="str">
        <x:v>Assumptions</x:v>
      </x:c>
      <x:c r="B1" s="6"/>
      <x:c r="C1" s="6"/>
      <x:c r="D1" s="6"/>
      <x:c r="E1" s="6"/>
      <x:c r="F1" s="6"/>
      <x:c r="G1" s="6"/>
      <x:c r="H1" s="6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/>
    <x:row r="3" ht="15" hidden="0" customHeight="1">
      <x:c r="A3" s="15" t="str">
        <x:v>Core Transaction Drivers</x:v>
      </x:c>
      <x:c r="B3" s="15" t="str">
        <x:v>Core Transaction Drivers</x:v>
      </x:c>
      <x:c r="C3" s="15" t="str">
        <x:v>Core Transaction Drivers</x:v>
      </x:c>
      <x:c r="D3" s="15" t="str">
        <x:v>Operating Case Ramps</x:v>
      </x:c>
      <x:c r="E3" s="15" t="str">
        <x:v>Operating Case Ramps</x:v>
      </x:c>
      <x:c r="F3" s="15" t="str">
        <x:v>Operating Case Ramps</x:v>
      </x:c>
      <x:c r="G3" s="15" t="str">
        <x:v>Operating Case Ramps</x:v>
      </x:c>
      <x:c r="H3" s="15" t="str">
        <x:v>Operating Case Ramps</x:v>
      </x:c>
      <x:c r="I3" s="15" t="str">
        <x:v>Operating Case Ramps</x:v>
      </x:c>
      <x:c r="J3" s="15" t="str">
        <x:v>Operating Case Ramps</x:v>
      </x:c>
      <x:c r="L3" s="15" t="str">
        <x:v>Scenario Selector</x:v>
      </x:c>
      <x:c r="M3" s="15" t="str">
        <x:v>Scenario Selector</x:v>
      </x:c>
      <x:c r="N3" s="15" t="str">
        <x:v>Scenario Selector</x:v>
      </x:c>
    </x:row>
    <x:row r="4" ht="15" hidden="0" customHeight="1">
      <x:c r="A4" s="9" t="str">
        <x:v>LTM Revenue</x:v>
      </x:c>
      <x:c r="B4" s="17" t="n">
        <x:v>750</x:v>
      </x:c>
      <x:c r="D4" s="20" t="str">
        <x:v>Metric</x:v>
      </x:c>
      <x:c r="E4" s="21" t="str">
        <x:v>2026E</x:v>
      </x:c>
      <x:c r="F4" s="21" t="str">
        <x:v>2027E</x:v>
      </x:c>
      <x:c r="G4" s="21" t="str">
        <x:v>2028E</x:v>
      </x:c>
      <x:c r="H4" s="21" t="str">
        <x:v>2029E</x:v>
      </x:c>
      <x:c r="I4" s="21" t="str">
        <x:v>2030E</x:v>
      </x:c>
      <x:c r="J4" s="22" t="str">
        <x:v>2031E</x:v>
      </x:c>
      <x:c r="L4" s="23" t="str">
        <x:v>Selected Case</x:v>
      </x:c>
      <x:c r="M4" s="30" t="str">
        <x:v>Base</x:v>
      </x:c>
      <x:c r="N4" s="25"/>
    </x:row>
    <x:row r="5" ht="15" hidden="0" customHeight="1">
      <x:c r="A5" s="10" t="str">
        <x:v>LTM EBITDA Margin</x:v>
      </x:c>
      <x:c r="B5" s="18" t="n">
        <x:v>0.28</x:v>
      </x:c>
      <x:c r="D5" t="str">
        <x:v>Revenue Growth</x:v>
      </x:c>
      <x:c r="E5" s="18" t="n">
        <x:v>0.06</x:v>
      </x:c>
      <x:c r="F5" s="18" t="n">
        <x:v>0.065</x:v>
      </x:c>
      <x:c r="G5" s="18" t="n">
        <x:v>0.065</x:v>
      </x:c>
      <x:c r="H5" s="18" t="n">
        <x:v>0.06</x:v>
      </x:c>
      <x:c r="I5" s="18" t="n">
        <x:v>0.055</x:v>
      </x:c>
      <x:c r="J5" s="18" t="n">
        <x:v>0.05</x:v>
      </x:c>
      <x:c r="L5" s="26" t="str">
        <x:v>Case</x:v>
      </x:c>
      <x:c r="M5" s="27" t="str">
        <x:v>Revenue Growth Adj.</x:v>
      </x:c>
      <x:c r="N5" s="28" t="str">
        <x:v>EBITDA Margin Adj.</x:v>
      </x:c>
    </x:row>
    <x:row r="6" ht="15" hidden="0" customHeight="1">
      <x:c r="A6" s="10" t="str">
        <x:v>Purchase Multiple</x:v>
      </x:c>
      <x:c r="B6" s="19" t="n">
        <x:v>10.5</x:v>
      </x:c>
      <x:c r="D6" t="str">
        <x:v>EBITDA Margin</x:v>
      </x:c>
      <x:c r="E6" s="18" t="n">
        <x:v>0.28</x:v>
      </x:c>
      <x:c r="F6" s="18" t="n">
        <x:v>0.285</x:v>
      </x:c>
      <x:c r="G6" s="18" t="n">
        <x:v>0.29</x:v>
      </x:c>
      <x:c r="H6" s="18" t="n">
        <x:v>0.295</x:v>
      </x:c>
      <x:c r="I6" s="18" t="n">
        <x:v>0.298</x:v>
      </x:c>
      <x:c r="J6" s="18" t="n">
        <x:v>0.3</x:v>
      </x:c>
      <x:c r="L6" t="str">
        <x:v>Downside</x:v>
      </x:c>
      <x:c r="M6" s="18" t="n">
        <x:v>-0.025</x:v>
      </x:c>
      <x:c r="N6" s="18" t="n">
        <x:v>-0.025</x:v>
      </x:c>
    </x:row>
    <x:row r="7" ht="15" hidden="0" customHeight="1">
      <x:c r="A7" s="10" t="str">
        <x:v>Transaction Fees % EV</x:v>
      </x:c>
      <x:c r="B7" s="18" t="n">
        <x:v>0.025</x:v>
      </x:c>
      <x:c r="D7" t="str">
        <x:v>D&amp;A % Revenue</x:v>
      </x:c>
      <x:c r="E7" s="18" t="n">
        <x:v>0.035</x:v>
      </x:c>
      <x:c r="F7" s="18" t="n">
        <x:v>0.035</x:v>
      </x:c>
      <x:c r="G7" s="18" t="n">
        <x:v>0.034</x:v>
      </x:c>
      <x:c r="H7" s="18" t="n">
        <x:v>0.034</x:v>
      </x:c>
      <x:c r="I7" s="18" t="n">
        <x:v>0.033</x:v>
      </x:c>
      <x:c r="J7" s="18" t="n">
        <x:v>0.033</x:v>
      </x:c>
      <x:c r="L7" t="str">
        <x:v>Base</x:v>
      </x:c>
      <x:c r="M7" s="18" t="n">
        <x:v>0</x:v>
      </x:c>
      <x:c r="N7" s="18" t="n">
        <x:v>0</x:v>
      </x:c>
    </x:row>
    <x:row r="8" ht="15" hidden="0" customHeight="1">
      <x:c r="A8" s="10" t="str">
        <x:v>Minimum Cash</x:v>
      </x:c>
      <x:c r="B8" s="18" t="n">
        <x:v>25</x:v>
      </x:c>
      <x:c r="D8" t="str">
        <x:v>Capex % Revenue</x:v>
      </x:c>
      <x:c r="E8" s="18" t="n">
        <x:v>0.045</x:v>
      </x:c>
      <x:c r="F8" s="18" t="n">
        <x:v>0.045</x:v>
      </x:c>
      <x:c r="G8" s="18" t="n">
        <x:v>0.044</x:v>
      </x:c>
      <x:c r="H8" s="18" t="n">
        <x:v>0.043</x:v>
      </x:c>
      <x:c r="I8" s="18" t="n">
        <x:v>0.042</x:v>
      </x:c>
      <x:c r="J8" s="18" t="n">
        <x:v>0.042</x:v>
      </x:c>
      <x:c r="L8" t="str">
        <x:v>Upside</x:v>
      </x:c>
      <x:c r="M8" s="18" t="n">
        <x:v>0.025</x:v>
      </x:c>
      <x:c r="N8" s="18" t="n">
        <x:v>0.025</x:v>
      </x:c>
    </x:row>
    <x:row r="9" ht="15" hidden="0" customHeight="1">
      <x:c r="A9" s="10" t="str">
        <x:v>Sponsor Fees at Exit</x:v>
      </x:c>
      <x:c r="B9" s="19" t="n">
        <x:v>0.015</x:v>
      </x:c>
      <x:c r="D9" t="str">
        <x:v>NWC % Revenue</x:v>
      </x:c>
      <x:c r="E9" s="18" t="n">
        <x:v>0.12</x:v>
      </x:c>
      <x:c r="F9" s="18" t="n">
        <x:v>0.12</x:v>
      </x:c>
      <x:c r="G9" s="18" t="n">
        <x:v>0.118</x:v>
      </x:c>
      <x:c r="H9" s="18" t="n">
        <x:v>0.116</x:v>
      </x:c>
      <x:c r="I9" s="18" t="n">
        <x:v>0.115</x:v>
      </x:c>
      <x:c r="J9" s="18" t="n">
        <x:v>0.115</x:v>
      </x:c>
    </x:row>
    <x:row r="10" ht="15" hidden="0" customHeight="1">
      <x:c r="A10" s="10" t="str">
        <x:v>Exit Multiple</x:v>
      </x:c>
      <x:c r="B10" s="18" t="n">
        <x:v>11</x:v>
      </x:c>
      <x:c r="D10" t="str">
        <x:v>Tax Rate</x:v>
      </x:c>
      <x:c r="E10" s="18" t="n">
        <x:v>0.25</x:v>
      </x:c>
      <x:c r="F10" s="18" t="n">
        <x:v>0.25</x:v>
      </x:c>
      <x:c r="G10" s="18" t="n">
        <x:v>0.25</x:v>
      </x:c>
      <x:c r="H10" s="18" t="n">
        <x:v>0.25</x:v>
      </x:c>
      <x:c r="I10" s="18" t="n">
        <x:v>0.25</x:v>
      </x:c>
      <x:c r="J10" s="18" t="n">
        <x:v>0.25</x:v>
      </x:c>
    </x:row>
    <x:row r="11" ht="15" hidden="0" customHeight="1">
      <x:c r="A11" s="10" t="str">
        <x:v>Revenue CAGR</x:v>
      </x:c>
      <x:c r="B11" s="18" t="n">
        <x:v>0.06</x:v>
      </x:c>
      <x:c r="D11" t="str">
        <x:v>Senior Rate</x:v>
      </x:c>
      <x:c r="E11" s="18" t="n">
        <x:v>0.075</x:v>
      </x:c>
      <x:c r="F11" s="18" t="n">
        <x:v>0.074</x:v>
      </x:c>
      <x:c r="G11" s="18" t="n">
        <x:v>0.073</x:v>
      </x:c>
      <x:c r="H11" s="18" t="n">
        <x:v>0.072</x:v>
      </x:c>
      <x:c r="I11" s="18" t="n">
        <x:v>0.071</x:v>
      </x:c>
      <x:c r="J11" s="18" t="n">
        <x:v>0.07</x:v>
      </x:c>
    </x:row>
    <x:row r="12" ht="15" hidden="0" customHeight="1">
      <x:c r="A12" s="10" t="str">
        <x:v>EBITDA Margin Expansion</x:v>
      </x:c>
      <x:c r="B12" s="18" t="n">
        <x:v>0.015</x:v>
      </x:c>
      <x:c r="D12" t="str">
        <x:v>Sub Rate</x:v>
      </x:c>
      <x:c r="E12" s="18" t="n">
        <x:v>0.105</x:v>
      </x:c>
      <x:c r="F12" s="18" t="n">
        <x:v>0.105</x:v>
      </x:c>
      <x:c r="G12" s="18" t="n">
        <x:v>0.103</x:v>
      </x:c>
      <x:c r="H12" s="18" t="n">
        <x:v>0.102</x:v>
      </x:c>
      <x:c r="I12" s="18" t="n">
        <x:v>0.1</x:v>
      </x:c>
      <x:c r="J12" s="18" t="n">
        <x:v>0.1</x:v>
      </x:c>
    </x:row>
    <x:row r="13" ht="15" hidden="0" customHeight="1">
      <x:c r="A13" s="10" t="str">
        <x:v>D&amp;A % Revenue</x:v>
      </x:c>
      <x:c r="B13" s="18" t="n">
        <x:v>0.035</x:v>
      </x:c>
      <x:c r="D13" t="str">
        <x:v>Cash Sweep</x:v>
      </x:c>
      <x:c r="E13" s="18" t="n">
        <x:v>0.75</x:v>
      </x:c>
      <x:c r="F13" s="18" t="n">
        <x:v>0.75</x:v>
      </x:c>
      <x:c r="G13" s="18" t="n">
        <x:v>0.78</x:v>
      </x:c>
      <x:c r="H13" s="18" t="n">
        <x:v>0.8</x:v>
      </x:c>
      <x:c r="I13" s="18" t="n">
        <x:v>0.8</x:v>
      </x:c>
      <x:c r="J13" s="18" t="n">
        <x:v>0.8</x:v>
      </x:c>
    </x:row>
    <x:row r="14" ht="15" hidden="0" customHeight="1">
      <x:c r="A14" s="10" t="str">
        <x:v>Capex % Revenue</x:v>
      </x:c>
      <x:c r="B14" s="18" t="n">
        <x:v>0.045</x:v>
      </x:c>
    </x:row>
    <x:row r="15" ht="15" hidden="0" customHeight="1">
      <x:c r="A15" s="10" t="str">
        <x:v>NWC % Revenue</x:v>
      </x:c>
      <x:c r="B15" s="18" t="n">
        <x:v>0.12</x:v>
      </x:c>
    </x:row>
    <x:row r="16" ht="15" hidden="0" customHeight="1">
      <x:c r="A16" s="10" t="str">
        <x:v>Cash Tax Rate</x:v>
      </x:c>
      <x:c r="B16" s="18" t="n">
        <x:v>0.25</x:v>
      </x:c>
    </x:row>
    <x:row r="17" ht="15" hidden="0" customHeight="1">
      <x:c r="A17" s="10" t="str">
        <x:v>Management Rollover %</x:v>
      </x:c>
      <x:c r="B17" s="18" t="n">
        <x:v>0.08</x:v>
      </x:c>
    </x:row>
    <x:row r="18" ht="15" hidden="0" customHeight="1">
      <x:c r="A18" s="10" t="str">
        <x:v>Senior Debt / EBITDA</x:v>
      </x:c>
      <x:c r="B18" s="18" t="n">
        <x:v>4.5</x:v>
      </x:c>
    </x:row>
    <x:row r="19" ht="15" hidden="0" customHeight="1">
      <x:c r="A19" s="10" t="str">
        <x:v>Sub Debt / EBITDA</x:v>
      </x:c>
      <x:c r="B19" s="19" t="n">
        <x:v>1.5</x:v>
      </x:c>
    </x:row>
    <x:row r="20" ht="15" hidden="0" customHeight="1">
      <x:c r="A20" s="10" t="str">
        <x:v>Senior Cash Interest</x:v>
      </x:c>
      <x:c r="B20" s="19" t="n">
        <x:v>0.075</x:v>
      </x:c>
    </x:row>
    <x:row r="21" ht="15" hidden="0" customHeight="1">
      <x:c r="A21" s="10" t="str">
        <x:v>Sub Cash Interest</x:v>
      </x:c>
      <x:c r="B21" s="18" t="n">
        <x:v>0.105</x:v>
      </x:c>
    </x:row>
    <x:row r="22" ht="15" hidden="0" customHeight="1">
      <x:c r="A22" s="10" t="str">
        <x:v>Senior Amortization %</x:v>
      </x:c>
      <x:c r="B22" s="18" t="n">
        <x:v>0.075</x:v>
      </x:c>
    </x:row>
    <x:row r="23" ht="15" hidden="0" customHeight="1">
      <x:c r="A23" s="10" t="str">
        <x:v>Cash Sweep %</x:v>
      </x:c>
      <x:c r="B23" s="18" t="n">
        <x:v>0.75</x:v>
      </x:c>
    </x:row>
    <x:row r="24" ht="15" hidden="0" customHeight="1">
      <x:c r="A24" s="11" t="str">
        <x:v>PIK Interest</x:v>
      </x:c>
      <x:c r="B24" s="18" t="n">
        <x:v>0.04</x:v>
      </x:c>
    </x:row>
  </x:sheetData>
  <x:mergeCells>
    <x:mergeCell ref="A1:H1"/>
    <x:mergeCell ref="A3:H3"/>
    <x:mergeCell ref="D3:J3"/>
    <x:mergeCell ref="L3:N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20.559999465942383" hidden="0" customWidth="1"/>
    <x:col min="3" max="3" width="20.559999465942383" hidden="0" customWidth="1"/>
    <x:col min="4" max="4" width="20.559999465942383" hidden="0" customWidth="1"/>
    <x:col min="5" max="5" width="20.559999465942383" hidden="0" customWidth="1"/>
    <x:col min="6" max="6" width="20.559999465942383" hidden="0" customWidth="1"/>
    <x:col min="7" max="7" width="20.559999465942383" hidden="0" customWidth="1"/>
  </x:cols>
  <x:sheetData>
    <x:row r="1" ht="19.200000762939453" hidden="0" customHeight="1">
      <x:c r="A1" s="6" t="str">
        <x:v>Operating Model</x:v>
      </x:c>
      <x:c r="B1" s="6"/>
      <x:c r="C1" s="6"/>
      <x:c r="D1" s="6"/>
      <x:c r="E1" s="6"/>
      <x:c r="F1" s="6"/>
      <x:c r="G1" s="6"/>
      <x:c r="H1" s="6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/>
    <x:row r="3" ht="15" hidden="0" customHeight="1">
      <x:c r="A3" s="20"/>
      <x:c r="B3" s="21" t="str">
        <x:v>2026E</x:v>
      </x:c>
      <x:c r="C3" s="21" t="str">
        <x:v>2027E</x:v>
      </x:c>
      <x:c r="D3" s="21" t="str">
        <x:v>2028E</x:v>
      </x:c>
      <x:c r="E3" s="21" t="str">
        <x:v>2029E</x:v>
      </x:c>
      <x:c r="F3" s="21" t="str">
        <x:v>2030E</x:v>
      </x:c>
      <x:c r="G3" s="22" t="str">
        <x:v>2031E</x:v>
      </x:c>
    </x:row>
    <x:row r="4"/>
    <x:row r="5" ht="15" hidden="0" customHeight="1">
      <x:c r="A5" s="15" t="str">
        <x:v>Income Statement and FCF</x:v>
      </x:c>
      <x:c r="B5" s="15" t="str">
        <x:v>Income Statement and FCF</x:v>
      </x:c>
      <x:c r="C5" s="15" t="str">
        <x:v>Income Statement and FCF</x:v>
      </x:c>
      <x:c r="D5" s="15" t="str">
        <x:v>Income Statement and FCF</x:v>
      </x:c>
      <x:c r="E5" s="15" t="str">
        <x:v>Income Statement and FCF</x:v>
      </x:c>
      <x:c r="F5" s="15" t="str">
        <x:v>Income Statement and FCF</x:v>
      </x:c>
      <x:c r="G5" s="15" t="str">
        <x:v>Income Statement and FCF</x:v>
      </x:c>
    </x:row>
    <x:row r="6" ht="15" hidden="0" customHeight="1">
      <x:c r="A6" t="str">
        <x:v>Revenue</x:v>
      </x:c>
      <x:c r="B6" s="32" t="n">
        <x:f>'Assumptions'!B4</x:f>
        <x:v>750</x:v>
      </x:c>
      <x:c r="C6" s="32" t="n">
        <x:f>B6*(1+'Assumptions'!F5+INDEX('Assumptions'!$M$6:$M$8,MATCH('Assumptions'!$M$4,'Assumptions'!$L$6:$L$8,0)))</x:f>
        <x:v>798.75</x:v>
      </x:c>
      <x:c r="D6" s="32" t="n">
        <x:f>C6*(1+'Assumptions'!G5+INDEX('Assumptions'!$M$6:$M$8,MATCH('Assumptions'!$M$4,'Assumptions'!$L$6:$L$8,0)))</x:f>
        <x:v>850.6687499999999</x:v>
      </x:c>
      <x:c r="E6" s="32" t="n">
        <x:f>D6*(1+'Assumptions'!H5+INDEX('Assumptions'!$M$6:$M$8,MATCH('Assumptions'!$M$4,'Assumptions'!$L$6:$L$8,0)))</x:f>
        <x:v>901.7088749999999</x:v>
      </x:c>
      <x:c r="F6" s="32" t="n">
        <x:f>E6*(1+'Assumptions'!I5+INDEX('Assumptions'!$M$6:$M$8,MATCH('Assumptions'!$M$4,'Assumptions'!$L$6:$L$8,0)))</x:f>
        <x:v>951.3028631249998</x:v>
      </x:c>
      <x:c r="G6" s="32" t="n">
        <x:f>F6*(1+'Assumptions'!J5+INDEX('Assumptions'!$M$6:$M$8,MATCH('Assumptions'!$M$4,'Assumptions'!$L$6:$L$8,0)))</x:f>
        <x:v>998.8680062812499</x:v>
      </x:c>
    </x:row>
    <x:row r="7" ht="15" hidden="0" customHeight="1">
      <x:c r="A7" t="str">
        <x:v>Revenue Growth</x:v>
      </x:c>
      <x:c r="B7" s="33" t="n">
        <x:f>B6/'Assumptions'!B4-1</x:f>
        <x:v>0</x:v>
      </x:c>
      <x:c r="C7" s="33" t="n">
        <x:f>C6/B6-1</x:f>
        <x:v>0.06499999999999995</x:v>
      </x:c>
      <x:c r="D7" s="33" t="n">
        <x:f>D6/C6-1</x:f>
        <x:v>0.06499999999999995</x:v>
      </x:c>
      <x:c r="E7" s="33" t="n">
        <x:f>E6/D6-1</x:f>
        <x:v>0.06000000000000005</x:v>
      </x:c>
      <x:c r="F7" s="33" t="n">
        <x:f>F6/E6-1</x:f>
        <x:v>0.05499999999999994</x:v>
      </x:c>
      <x:c r="G7" s="33" t="n">
        <x:f>G6/F6-1</x:f>
        <x:v>0.050000000000000044</x:v>
      </x:c>
    </x:row>
    <x:row r="8" ht="15" hidden="0" customHeight="1">
      <x:c r="A8" t="str">
        <x:v>EBITDA</x:v>
      </x:c>
      <x:c r="B8" s="32" t="n">
        <x:f>B6*('Assumptions'!E6+INDEX('Assumptions'!$N$6:$N$8,MATCH('Assumptions'!$M$4,'Assumptions'!$L$6:$L$8,0)))</x:f>
        <x:v>210.00000000000003</x:v>
      </x:c>
      <x:c r="C8" s="32" t="n">
        <x:f>C6*('Assumptions'!F6+INDEX('Assumptions'!$N$6:$N$8,MATCH('Assumptions'!$M$4,'Assumptions'!$L$6:$L$8,0)))</x:f>
        <x:v>227.64374999999998</x:v>
      </x:c>
      <x:c r="D8" s="32" t="n">
        <x:f>D6*('Assumptions'!G6+INDEX('Assumptions'!$N$6:$N$8,MATCH('Assumptions'!$M$4,'Assumptions'!$L$6:$L$8,0)))</x:f>
        <x:v>246.69393749999998</x:v>
      </x:c>
      <x:c r="E8" s="32" t="n">
        <x:f>E6*('Assumptions'!H6+INDEX('Assumptions'!$N$6:$N$8,MATCH('Assumptions'!$M$4,'Assumptions'!$L$6:$L$8,0)))</x:f>
        <x:v>266.004118125</x:v>
      </x:c>
      <x:c r="F8" s="32" t="n">
        <x:f>F6*('Assumptions'!I6+INDEX('Assumptions'!$N$6:$N$8,MATCH('Assumptions'!$M$4,'Assumptions'!$L$6:$L$8,0)))</x:f>
        <x:v>283.4882532112499</x:v>
      </x:c>
      <x:c r="G8" s="32" t="n">
        <x:f>G6*('Assumptions'!J6+INDEX('Assumptions'!$N$6:$N$8,MATCH('Assumptions'!$M$4,'Assumptions'!$L$6:$L$8,0)))</x:f>
        <x:v>299.66040188437495</x:v>
      </x:c>
    </x:row>
    <x:row r="9" ht="15" hidden="0" customHeight="1">
      <x:c r="A9" t="str">
        <x:v>EBITDA Margin</x:v>
      </x:c>
      <x:c r="B9" s="33" t="n">
        <x:f>B8/B6</x:f>
        <x:v>0.28</x:v>
      </x:c>
      <x:c r="C9" s="33" t="n">
        <x:f>C8/C6</x:f>
        <x:v>0.285</x:v>
      </x:c>
      <x:c r="D9" s="33" t="n">
        <x:f>D8/D6</x:f>
        <x:v>0.29</x:v>
      </x:c>
      <x:c r="E9" s="33" t="n">
        <x:f>E8/E6</x:f>
        <x:v>0.29500000000000004</x:v>
      </x:c>
      <x:c r="F9" s="33" t="n">
        <x:f>F8/F6</x:f>
        <x:v>0.298</x:v>
      </x:c>
      <x:c r="G9" s="33" t="n">
        <x:f>G8/G6</x:f>
        <x:v>0.3</x:v>
      </x:c>
    </x:row>
    <x:row r="10" ht="15" hidden="0" customHeight="1">
      <x:c r="A10" t="str">
        <x:v>D&amp;A</x:v>
      </x:c>
      <x:c r="B10" s="32" t="n">
        <x:f>B6*'Assumptions'!E7</x:f>
        <x:v>26.250000000000004</x:v>
      </x:c>
      <x:c r="C10" s="32" t="n">
        <x:f>C6*'Assumptions'!F7</x:f>
        <x:v>27.956250000000004</x:v>
      </x:c>
      <x:c r="D10" s="32" t="n">
        <x:f>D6*'Assumptions'!G7</x:f>
        <x:v>28.9227375</x:v>
      </x:c>
      <x:c r="E10" s="32" t="n">
        <x:f>E6*'Assumptions'!H7</x:f>
        <x:v>30.65810175</x:v>
      </x:c>
      <x:c r="F10" s="32" t="n">
        <x:f>F6*'Assumptions'!I7</x:f>
        <x:v>31.392994483124994</x:v>
      </x:c>
      <x:c r="G10" s="32" t="n">
        <x:f>G6*'Assumptions'!J7</x:f>
        <x:v>32.96264420728125</x:v>
      </x:c>
    </x:row>
    <x:row r="11" ht="15" hidden="0" customHeight="1">
      <x:c r="A11" t="str">
        <x:v>EBIT</x:v>
      </x:c>
      <x:c r="B11" s="32" t="n">
        <x:f>B8-B10</x:f>
        <x:v>183.75000000000003</x:v>
      </x:c>
      <x:c r="C11" s="32" t="n">
        <x:f>C8-C10</x:f>
        <x:v>199.68749999999997</x:v>
      </x:c>
      <x:c r="D11" s="32" t="n">
        <x:f>D8-D10</x:f>
        <x:v>217.77119999999996</x:v>
      </x:c>
      <x:c r="E11" s="32" t="n">
        <x:f>E8-E10</x:f>
        <x:v>235.34601637499998</x:v>
      </x:c>
      <x:c r="F11" s="32" t="n">
        <x:f>F8-F10</x:f>
        <x:v>252.09525872812492</x:v>
      </x:c>
      <x:c r="G11" s="32" t="n">
        <x:f>G8-G10</x:f>
        <x:v>266.6977576770937</x:v>
      </x:c>
    </x:row>
    <x:row r="12" ht="15" hidden="0" customHeight="1">
      <x:c r="A12" t="str">
        <x:v>Cash Taxes</x:v>
      </x:c>
      <x:c r="B12" s="32" t="n">
        <x:f>MAX(0,B11*'Assumptions'!E10)</x:f>
        <x:v>45.93750000000001</x:v>
      </x:c>
      <x:c r="C12" s="32" t="n">
        <x:f>MAX(0,C11*'Assumptions'!F10)</x:f>
        <x:v>49.92187499999999</x:v>
      </x:c>
      <x:c r="D12" s="32" t="n">
        <x:f>MAX(0,D11*'Assumptions'!G10)</x:f>
        <x:v>54.44279999999999</x:v>
      </x:c>
      <x:c r="E12" s="32" t="n">
        <x:f>MAX(0,E11*'Assumptions'!H10)</x:f>
        <x:v>58.836504093749994</x:v>
      </x:c>
      <x:c r="F12" s="32" t="n">
        <x:f>MAX(0,F11*'Assumptions'!I10)</x:f>
        <x:v>63.02381468203123</x:v>
      </x:c>
      <x:c r="G12" s="32" t="n">
        <x:f>MAX(0,G11*'Assumptions'!J10)</x:f>
        <x:v>66.67443941927343</x:v>
      </x:c>
    </x:row>
    <x:row r="13" ht="15" hidden="0" customHeight="1">
      <x:c r="A13" t="str">
        <x:v>NOPAT</x:v>
      </x:c>
      <x:c r="B13" s="32" t="n">
        <x:f>B11-B12</x:f>
        <x:v>137.81250000000003</x:v>
      </x:c>
      <x:c r="C13" s="32" t="n">
        <x:f>C11-C12</x:f>
        <x:v>149.76562499999997</x:v>
      </x:c>
      <x:c r="D13" s="32" t="n">
        <x:f>D11-D12</x:f>
        <x:v>163.3284</x:v>
      </x:c>
      <x:c r="E13" s="32" t="n">
        <x:f>E11-E12</x:f>
        <x:v>176.50951228124998</x:v>
      </x:c>
      <x:c r="F13" s="32" t="n">
        <x:f>F11-F12</x:f>
        <x:v>189.0714440460937</x:v>
      </x:c>
      <x:c r="G13" s="32" t="n">
        <x:f>G11-G12</x:f>
        <x:v>200.02331825782028</x:v>
      </x:c>
    </x:row>
    <x:row r="14" ht="15" hidden="0" customHeight="1">
      <x:c r="A14" t="str">
        <x:v>D&amp;A Add-back</x:v>
      </x:c>
      <x:c r="B14" s="32" t="n">
        <x:f>B10</x:f>
        <x:v>26.250000000000004</x:v>
      </x:c>
      <x:c r="C14" s="32" t="n">
        <x:f>C10</x:f>
        <x:v>27.956250000000004</x:v>
      </x:c>
      <x:c r="D14" s="32" t="n">
        <x:f>D10</x:f>
        <x:v>28.9227375</x:v>
      </x:c>
      <x:c r="E14" s="32" t="n">
        <x:f>E10</x:f>
        <x:v>30.65810175</x:v>
      </x:c>
      <x:c r="F14" s="32" t="n">
        <x:f>F10</x:f>
        <x:v>31.392994483124994</x:v>
      </x:c>
      <x:c r="G14" s="32" t="n">
        <x:f>G10</x:f>
        <x:v>32.96264420728125</x:v>
      </x:c>
    </x:row>
    <x:row r="15" ht="15" hidden="0" customHeight="1">
      <x:c r="A15" t="str">
        <x:v>Capex</x:v>
      </x:c>
      <x:c r="B15" s="32" t="n">
        <x:f>-B6*'Assumptions'!E8</x:f>
        <x:v>-33.75</x:v>
      </x:c>
      <x:c r="C15" s="32" t="n">
        <x:f>-C6*'Assumptions'!F8</x:f>
        <x:v>-35.94375</x:v>
      </x:c>
      <x:c r="D15" s="32" t="n">
        <x:f>-D6*'Assumptions'!G8</x:f>
        <x:v>-37.429424999999995</x:v>
      </x:c>
      <x:c r="E15" s="32" t="n">
        <x:f>-E6*'Assumptions'!H8</x:f>
        <x:v>-38.773481624999995</x:v>
      </x:c>
      <x:c r="F15" s="32" t="n">
        <x:f>-F6*'Assumptions'!I8</x:f>
        <x:v>-39.954720251249995</x:v>
      </x:c>
      <x:c r="G15" s="32" t="n">
        <x:f>-G6*'Assumptions'!J8</x:f>
        <x:v>-41.9524562638125</x:v>
      </x:c>
    </x:row>
    <x:row r="16" ht="15" hidden="0" customHeight="1">
      <x:c r="A16" t="str">
        <x:v>Change in NWC</x:v>
      </x:c>
      <x:c r="B16" s="32" t="n">
        <x:f>-(B20-B19)</x:f>
        <x:v>0</x:v>
      </x:c>
      <x:c r="C16" s="32" t="n">
        <x:f>-(C20-C19)</x:f>
        <x:v>-5.849999999999994</x:v>
      </x:c>
      <x:c r="D16" s="32" t="n">
        <x:f>-(D20-D19)</x:f>
        <x:v>-4.52891249999999</x:v>
      </x:c>
      <x:c r="E16" s="32" t="n">
        <x:f>-(E20-E19)</x:f>
        <x:v>-4.219317000000018</x:v>
      </x:c>
      <x:c r="F16" s="32" t="n">
        <x:f>-(F20-F19)</x:f>
        <x:v>-4.80159975937498</x:v>
      </x:c>
      <x:c r="G16" s="32" t="n">
        <x:f>-(G20-G19)</x:f>
        <x:v>-5.469991462968764</x:v>
      </x:c>
    </x:row>
    <x:row r="17" ht="15" hidden="0" customHeight="1">
      <x:c r="A17" t="str">
        <x:v>Unlevered FCF</x:v>
      </x:c>
      <x:c r="B17" s="32" t="n">
        <x:f>SUM(B13:B16)</x:f>
        <x:v>130.31250000000003</x:v>
      </x:c>
      <x:c r="C17" s="32" t="n">
        <x:f>SUM(C13:C16)</x:f>
        <x:v>135.928125</x:v>
      </x:c>
      <x:c r="D17" s="32" t="n">
        <x:f>SUM(D13:D16)</x:f>
        <x:v>150.2928</x:v>
      </x:c>
      <x:c r="E17" s="32" t="n">
        <x:f>SUM(E13:E16)</x:f>
        <x:v>164.17481540624996</x:v>
      </x:c>
      <x:c r="F17" s="32" t="n">
        <x:f>SUM(F13:F16)</x:f>
        <x:v>175.70811851859372</x:v>
      </x:c>
      <x:c r="G17" s="32" t="n">
        <x:f>SUM(G13:G16)</x:f>
        <x:v>185.56351473832024</x:v>
      </x:c>
    </x:row>
    <x:row r="18" ht="15" hidden="0" customHeight="1">
      <x:c r="A18" t="str"/>
      <x:c r="B18" s="31"/>
      <x:c r="C18" s="31"/>
      <x:c r="D18" s="31"/>
      <x:c r="E18" s="31"/>
      <x:c r="F18" s="31"/>
      <x:c r="G18" s="31"/>
    </x:row>
    <x:row r="19" ht="15" hidden="0" customHeight="1">
      <x:c r="A19" t="str">
        <x:v>Beginning NWC</x:v>
      </x:c>
      <x:c r="B19" s="32" t="n">
        <x:f>'Assumptions'!B4*'Assumptions'!E9</x:f>
        <x:v>90</x:v>
      </x:c>
      <x:c r="C19" s="32" t="n">
        <x:f>B20</x:f>
        <x:v>90</x:v>
      </x:c>
      <x:c r="D19" s="32" t="n">
        <x:f>C20</x:f>
        <x:v>95.85</x:v>
      </x:c>
      <x:c r="E19" s="32" t="n">
        <x:f>D20</x:f>
        <x:v>100.37891249999998</x:v>
      </x:c>
      <x:c r="F19" s="32" t="n">
        <x:f>E20</x:f>
        <x:v>104.5982295</x:v>
      </x:c>
      <x:c r="G19" s="32" t="n">
        <x:f>F20</x:f>
        <x:v>109.39982925937498</x:v>
      </x:c>
    </x:row>
    <x:row r="20" ht="15" hidden="0" customHeight="1">
      <x:c r="A20" t="str">
        <x:v>Ending NWC</x:v>
      </x:c>
      <x:c r="B20" s="32" t="n">
        <x:f>B6*'Assumptions'!E9</x:f>
        <x:v>90</x:v>
      </x:c>
      <x:c r="C20" s="32" t="n">
        <x:f>C6*'Assumptions'!F9</x:f>
        <x:v>95.85</x:v>
      </x:c>
      <x:c r="D20" s="32" t="n">
        <x:f>D6*'Assumptions'!G9</x:f>
        <x:v>100.37891249999998</x:v>
      </x:c>
      <x:c r="E20" s="32" t="n">
        <x:f>E6*'Assumptions'!H9</x:f>
        <x:v>104.5982295</x:v>
      </x:c>
      <x:c r="F20" s="32" t="n">
        <x:f>F6*'Assumptions'!I9</x:f>
        <x:v>109.39982925937498</x:v>
      </x:c>
      <x:c r="G20" s="32" t="n">
        <x:f>G6*'Assumptions'!J9</x:f>
        <x:v>114.86982072234375</x:v>
      </x:c>
    </x:row>
    <x:row r="21" ht="15" hidden="0" customHeight="1">
      <x:c r="A21" t="str">
        <x:v>NWC Change Check</x:v>
      </x:c>
      <x:c r="B21" s="32" t="n">
        <x:f>B20-B19+B16</x:f>
        <x:v>0</x:v>
      </x:c>
      <x:c r="C21" s="32" t="n">
        <x:f>C20-C19+C16</x:f>
        <x:v>0</x:v>
      </x:c>
      <x:c r="D21" s="32" t="n">
        <x:f>D20-D19+D16</x:f>
        <x:v>0</x:v>
      </x:c>
      <x:c r="E21" s="32" t="n">
        <x:f>E20-E19+E16</x:f>
        <x:v>0</x:v>
      </x:c>
      <x:c r="F21" s="32" t="n">
        <x:f>F20-F19+F16</x:f>
        <x:v>0</x:v>
      </x:c>
      <x:c r="G21" s="32" t="n">
        <x:f>G20-G19+G16</x:f>
        <x:v>0</x:v>
      </x:c>
    </x:row>
    <x:row r="22" ht="15" hidden="0" customHeight="1">
      <x:c r="A22" t="str"/>
      <x:c r="B22" s="32"/>
      <x:c r="C22" s="32"/>
      <x:c r="D22" s="32"/>
      <x:c r="E22" s="32"/>
      <x:c r="F22" s="32"/>
      <x:c r="G22" s="32"/>
    </x:row>
    <x:row r="23" ht="15" hidden="0" customHeight="1">
      <x:c r="A23" t="str">
        <x:v>PV Discount Factor</x:v>
      </x:c>
      <x:c r="B23" s="34" t="n">
        <x:f>1/(1+'Returns'!B23)^1</x:f>
        <x:v>1</x:v>
      </x:c>
      <x:c r="C23" s="34" t="n">
        <x:f>1/(1+'Returns'!B23)^2</x:f>
        <x:v>1</x:v>
      </x:c>
      <x:c r="D23" s="34" t="n">
        <x:f>1/(1+'Returns'!B23)^3</x:f>
        <x:v>1</x:v>
      </x:c>
      <x:c r="E23" s="34" t="n">
        <x:f>1/(1+'Returns'!B23)^4</x:f>
        <x:v>1</x:v>
      </x:c>
      <x:c r="F23" s="34" t="n">
        <x:f>1/(1+'Returns'!B23)^5</x:f>
        <x:v>1</x:v>
      </x:c>
      <x:c r="G23" s="34" t="n">
        <x:f>1/(1+'Returns'!B23)^6</x:f>
        <x:v>1</x:v>
      </x:c>
    </x:row>
    <x:row r="24" ht="15" hidden="0" customHeight="1">
      <x:c r="A24" t="str">
        <x:v>PV of FCF</x:v>
      </x:c>
      <x:c r="B24" s="32" t="n">
        <x:f>B17*B23</x:f>
        <x:v>130.31250000000003</x:v>
      </x:c>
      <x:c r="C24" s="32" t="n">
        <x:f>C17*C23</x:f>
        <x:v>135.928125</x:v>
      </x:c>
      <x:c r="D24" s="32" t="n">
        <x:f>D17*D23</x:f>
        <x:v>150.2928</x:v>
      </x:c>
      <x:c r="E24" s="32" t="n">
        <x:f>E17*E23</x:f>
        <x:v>164.17481540624996</x:v>
      </x:c>
      <x:c r="F24" s="32" t="n">
        <x:f>F17*F23</x:f>
        <x:v>175.70811851859372</x:v>
      </x:c>
      <x:c r="G24" s="32" t="n">
        <x:f>G17*G23</x:f>
        <x:v>185.56351473832024</x:v>
      </x:c>
    </x:row>
    <x:row r="25" ht="15" hidden="0" customHeight="1">
      <x:c r="A25" t="str">
        <x:v>Exit EBITDA</x:v>
      </x:c>
      <x:c r="B25" s="32" t="n">
        <x:f>B8</x:f>
        <x:v>210.00000000000003</x:v>
      </x:c>
      <x:c r="C25" s="32" t="n">
        <x:f>C8</x:f>
        <x:v>227.64374999999998</x:v>
      </x:c>
      <x:c r="D25" s="32" t="n">
        <x:f>D8</x:f>
        <x:v>246.69393749999998</x:v>
      </x:c>
      <x:c r="E25" s="32" t="n">
        <x:f>E8</x:f>
        <x:v>266.004118125</x:v>
      </x:c>
      <x:c r="F25" s="32" t="n">
        <x:f>F8</x:f>
        <x:v>283.4882532112499</x:v>
      </x:c>
      <x:c r="G25" s="32" t="n">
        <x:f>G8</x:f>
        <x:v>299.66040188437495</x:v>
      </x:c>
    </x:row>
    <x:row r="26" ht="15" hidden="0" customHeight="1">
      <x:c r="A26" t="str">
        <x:v>Exit Enterprise Value</x:v>
      </x:c>
      <x:c r="B26" s="32" t="n">
        <x:f>B25*'Assumptions'!B10</x:f>
        <x:v>2310.0000000000005</x:v>
      </x:c>
      <x:c r="C26" s="32" t="n">
        <x:f>C25*'Assumptions'!B10</x:f>
        <x:v>2504.0812499999997</x:v>
      </x:c>
      <x:c r="D26" s="32" t="n">
        <x:f>D25*'Assumptions'!B10</x:f>
        <x:v>2713.6333124999996</x:v>
      </x:c>
      <x:c r="E26" s="32" t="n">
        <x:f>E25*'Assumptions'!B10</x:f>
        <x:v>2926.045299375</x:v>
      </x:c>
      <x:c r="F26" s="32" t="n">
        <x:f>F25*'Assumptions'!B10</x:f>
        <x:v>3118.3707853237493</x:v>
      </x:c>
      <x:c r="G26" s="32" t="n">
        <x:f>G25*'Assumptions'!B10</x:f>
        <x:v>3296.2644207281246</x:v>
      </x:c>
    </x:row>
    <x:row r="27" ht="15" hidden="0" customHeight="1">
      <x:c r="A27" t="str">
        <x:v>Sponsor Exit Fees</x:v>
      </x:c>
      <x:c r="B27" s="32" t="n">
        <x:f>-B26*'Assumptions'!B7</x:f>
        <x:v>-57.750000000000014</x:v>
      </x:c>
      <x:c r="C27" s="32" t="n">
        <x:f>-C26*'Assumptions'!B7</x:f>
        <x:v>-62.602031249999996</x:v>
      </x:c>
      <x:c r="D27" s="32" t="n">
        <x:f>-D26*'Assumptions'!B7</x:f>
        <x:v>-67.8408328125</x:v>
      </x:c>
      <x:c r="E27" s="32" t="n">
        <x:f>-E26*'Assumptions'!B7</x:f>
        <x:v>-73.151132484375</x:v>
      </x:c>
      <x:c r="F27" s="32" t="n">
        <x:f>-F26*'Assumptions'!B7</x:f>
        <x:v>-77.95926963309374</x:v>
      </x:c>
      <x:c r="G27" s="32" t="n">
        <x:f>-G26*'Assumptions'!B7</x:f>
        <x:v>-82.40661051820312</x:v>
      </x:c>
    </x:row>
    <x:row r="28" ht="15" hidden="0" customHeight="1">
      <x:c r="A28" t="str">
        <x:v>Enterprise Value Net of Fees</x:v>
      </x:c>
      <x:c r="B28" s="32" t="n">
        <x:f>B26+B27</x:f>
        <x:v>2252.2500000000005</x:v>
      </x:c>
      <x:c r="C28" s="32" t="n">
        <x:f>C26+C27</x:f>
        <x:v>2441.4792187499997</x:v>
      </x:c>
      <x:c r="D28" s="32" t="n">
        <x:f>D26+D27</x:f>
        <x:v>2645.7924796874995</x:v>
      </x:c>
      <x:c r="E28" s="32" t="n">
        <x:f>E26+E27</x:f>
        <x:v>2852.894166890625</x:v>
      </x:c>
      <x:c r="F28" s="32" t="n">
        <x:f>F26+F27</x:f>
        <x:v>3040.4115156906555</x:v>
      </x:c>
      <x:c r="G28" s="32" t="n">
        <x:f>G26+G27</x:f>
        <x:v>3213.8578102099214</x:v>
      </x:c>
    </x:row>
  </x:sheetData>
  <x:mergeCells>
    <x:mergeCell ref="A1:H1"/>
    <x:mergeCell ref="A5:G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670000076293945" hidden="0" customWidth="1"/>
    <x:col min="2" max="2" width="27.670000076293945" hidden="0" customWidth="1"/>
    <x:col min="3" max="3" width="27.670000076293945" hidden="0" customWidth="1"/>
    <x:col min="4" max="4" width="27.670000076293945" hidden="0" customWidth="1"/>
    <x:col min="5" max="5" width="27.670000076293945" hidden="0" customWidth="1"/>
    <x:col min="6" max="6" width="27.670000076293945" hidden="0" customWidth="1"/>
    <x:col min="7" max="7" width="27.670000076293945" hidden="0" customWidth="1"/>
  </x:cols>
  <x:sheetData>
    <x:row r="1" ht="19.200000762939453" hidden="0" customHeight="1">
      <x:c r="A1" s="6" t="str">
        <x:v>Debt Schedule</x:v>
      </x:c>
      <x:c r="B1" s="6"/>
      <x:c r="C1" s="6"/>
      <x:c r="D1" s="6"/>
      <x:c r="E1" s="6"/>
      <x:c r="F1" s="6"/>
      <x:c r="G1" s="6"/>
      <x:c r="H1" s="6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/>
    <x:row r="3" ht="15" hidden="0" customHeight="1">
      <x:c r="A3" s="20"/>
      <x:c r="B3" s="21" t="str">
        <x:v>2026E</x:v>
      </x:c>
      <x:c r="C3" s="21" t="str">
        <x:v>2027E</x:v>
      </x:c>
      <x:c r="D3" s="21" t="str">
        <x:v>2028E</x:v>
      </x:c>
      <x:c r="E3" s="21" t="str">
        <x:v>2029E</x:v>
      </x:c>
      <x:c r="F3" s="21" t="str">
        <x:v>2030E</x:v>
      </x:c>
      <x:c r="G3" s="22" t="str">
        <x:v>2031E</x:v>
      </x:c>
    </x:row>
    <x:row r="4"/>
    <x:row r="5" ht="15" hidden="0" customHeight="1">
      <x:c r="A5" s="15" t="str">
        <x:v>Sources, Uses and Debt Roll-forward</x:v>
      </x:c>
      <x:c r="B5" s="15" t="str">
        <x:v>Sources, Uses and Debt Roll-forward</x:v>
      </x:c>
      <x:c r="C5" s="15" t="str">
        <x:v>Sources, Uses and Debt Roll-forward</x:v>
      </x:c>
      <x:c r="D5" s="15" t="str">
        <x:v>Sources, Uses and Debt Roll-forward</x:v>
      </x:c>
      <x:c r="E5" s="15" t="str">
        <x:v>Sources, Uses and Debt Roll-forward</x:v>
      </x:c>
      <x:c r="F5" s="15" t="str">
        <x:v>Sources, Uses and Debt Roll-forward</x:v>
      </x:c>
      <x:c r="G5" s="15" t="str">
        <x:v>Sources, Uses and Debt Roll-forward</x:v>
      </x:c>
    </x:row>
    <x:row r="6" ht="15" hidden="0" customHeight="1">
      <x:c r="A6" t="str">
        <x:v>Purchase Enterprise Value</x:v>
      </x:c>
      <x:c r="B6" s="32" t="n">
        <x:f>'Assumptions'!B4*'Assumptions'!B5*'Assumptions'!B6</x:f>
        <x:v>2205.0000000000005</x:v>
      </x:c>
      <x:c r="C6" s="32" t="n">
        <x:f>B6</x:f>
        <x:v>2205.0000000000005</x:v>
      </x:c>
      <x:c r="D6" s="32" t="n">
        <x:f>C6</x:f>
        <x:v>2205.0000000000005</x:v>
      </x:c>
      <x:c r="E6" s="32" t="n">
        <x:f>D6</x:f>
        <x:v>2205.0000000000005</x:v>
      </x:c>
      <x:c r="F6" s="32" t="n">
        <x:f>E6</x:f>
        <x:v>2205.0000000000005</x:v>
      </x:c>
      <x:c r="G6" s="32" t="n">
        <x:f>F6</x:f>
        <x:v>2205.0000000000005</x:v>
      </x:c>
    </x:row>
    <x:row r="7" ht="15" hidden="0" customHeight="1">
      <x:c r="A7" t="str">
        <x:v>Transaction Fees</x:v>
      </x:c>
      <x:c r="B7" s="32" t="n">
        <x:f>B6*'Assumptions'!B7</x:f>
        <x:v>55.125000000000014</x:v>
      </x:c>
      <x:c r="C7" s="32" t="n">
        <x:f>C6*'Assumptions'!B7</x:f>
        <x:v>55.125000000000014</x:v>
      </x:c>
      <x:c r="D7" s="32" t="n">
        <x:f>D6*'Assumptions'!B7</x:f>
        <x:v>55.125000000000014</x:v>
      </x:c>
      <x:c r="E7" s="32" t="n">
        <x:f>E6*'Assumptions'!B7</x:f>
        <x:v>55.125000000000014</x:v>
      </x:c>
      <x:c r="F7" s="32" t="n">
        <x:f>F6*'Assumptions'!B7</x:f>
        <x:v>55.125000000000014</x:v>
      </x:c>
      <x:c r="G7" s="32" t="n">
        <x:f>G6*'Assumptions'!B7</x:f>
        <x:v>55.125000000000014</x:v>
      </x:c>
    </x:row>
    <x:row r="8" ht="15" hidden="0" customHeight="1">
      <x:c r="A8" t="str">
        <x:v>Minimum Cash</x:v>
      </x:c>
      <x:c r="B8" s="32" t="n">
        <x:f>'Assumptions'!B8</x:f>
        <x:v>25</x:v>
      </x:c>
      <x:c r="C8" s="32" t="n">
        <x:f>'Assumptions'!B8</x:f>
        <x:v>25</x:v>
      </x:c>
      <x:c r="D8" s="32" t="n">
        <x:f>'Assumptions'!B8</x:f>
        <x:v>25</x:v>
      </x:c>
      <x:c r="E8" s="32" t="n">
        <x:f>'Assumptions'!B8</x:f>
        <x:v>25</x:v>
      </x:c>
      <x:c r="F8" s="32" t="n">
        <x:f>'Assumptions'!B8</x:f>
        <x:v>25</x:v>
      </x:c>
      <x:c r="G8" s="32" t="n">
        <x:f>'Assumptions'!B8</x:f>
        <x:v>25</x:v>
      </x:c>
    </x:row>
    <x:row r="9" ht="15" hidden="0" customHeight="1">
      <x:c r="A9" t="str">
        <x:v>Total Uses</x:v>
      </x:c>
      <x:c r="B9" s="32" t="n">
        <x:f>SUM(B6:B8)</x:f>
        <x:v>2285.1250000000005</x:v>
      </x:c>
      <x:c r="C9" s="32" t="n">
        <x:f>SUM(C6:C8)</x:f>
        <x:v>2285.1250000000005</x:v>
      </x:c>
      <x:c r="D9" s="32" t="n">
        <x:f>SUM(D6:D8)</x:f>
        <x:v>2285.1250000000005</x:v>
      </x:c>
      <x:c r="E9" s="32" t="n">
        <x:f>SUM(E6:E8)</x:f>
        <x:v>2285.1250000000005</x:v>
      </x:c>
      <x:c r="F9" s="32" t="n">
        <x:f>SUM(F6:F8)</x:f>
        <x:v>2285.1250000000005</x:v>
      </x:c>
      <x:c r="G9" s="32" t="n">
        <x:f>SUM(G6:G8)</x:f>
        <x:v>2285.1250000000005</x:v>
      </x:c>
    </x:row>
    <x:row r="10" ht="15" hidden="0" customHeight="1">
      <x:c r="A10" t="str"/>
      <x:c r="B10" s="32"/>
      <x:c r="C10" s="32"/>
      <x:c r="D10" s="32"/>
      <x:c r="E10" s="32"/>
      <x:c r="F10" s="32"/>
      <x:c r="G10" s="32"/>
    </x:row>
    <x:row r="11" ht="15" hidden="0" customHeight="1">
      <x:c r="A11" t="str">
        <x:v>LTM EBITDA</x:v>
      </x:c>
      <x:c r="B11" s="32" t="n">
        <x:f>'Assumptions'!B4*'Assumptions'!B5</x:f>
        <x:v>210.00000000000003</x:v>
      </x:c>
      <x:c r="C11" s="32" t="n">
        <x:f>'Operating Model'!C8</x:f>
        <x:v>227.64374999999998</x:v>
      </x:c>
      <x:c r="D11" s="32" t="n">
        <x:f>'Operating Model'!D8</x:f>
        <x:v>246.69393749999998</x:v>
      </x:c>
      <x:c r="E11" s="32" t="n">
        <x:f>'Operating Model'!E8</x:f>
        <x:v>266.004118125</x:v>
      </x:c>
      <x:c r="F11" s="32" t="n">
        <x:f>'Operating Model'!F8</x:f>
        <x:v>283.4882532112499</x:v>
      </x:c>
      <x:c r="G11" s="32" t="n">
        <x:f>'Operating Model'!G8</x:f>
        <x:v>299.66040188437495</x:v>
      </x:c>
    </x:row>
    <x:row r="12" ht="15" hidden="0" customHeight="1">
      <x:c r="A12" t="str">
        <x:v>Senior Debt</x:v>
      </x:c>
      <x:c r="B12" s="32" t="n">
        <x:f>B11*'Assumptions'!B19</x:f>
        <x:v>315.00000000000006</x:v>
      </x:c>
      <x:c r="C12" s="32" t="n">
        <x:f>B23</x:f>
        <x:v>0</x:v>
      </x:c>
      <x:c r="D12" s="32" t="n">
        <x:f>C23</x:f>
        <x:v>0</x:v>
      </x:c>
      <x:c r="E12" s="32" t="n">
        <x:f>D23</x:f>
        <x:v>0</x:v>
      </x:c>
      <x:c r="F12" s="32" t="n">
        <x:f>E23</x:f>
        <x:v>0</x:v>
      </x:c>
      <x:c r="G12" s="32" t="n">
        <x:f>F23</x:f>
        <x:v>0</x:v>
      </x:c>
    </x:row>
    <x:row r="13" ht="15" hidden="0" customHeight="1">
      <x:c r="A13" t="str">
        <x:v>Sub Debt</x:v>
      </x:c>
      <x:c r="B13" s="32" t="n">
        <x:f>B11*'Assumptions'!B20</x:f>
        <x:v>15.750000000000002</x:v>
      </x:c>
      <x:c r="C13" s="32" t="n">
        <x:f>B28</x:f>
        <x:v>18.03375</x:v>
      </x:c>
      <x:c r="D13" s="32" t="n">
        <x:f>C28</x:f>
        <x:v>20.64864375</x:v>
      </x:c>
      <x:c r="E13" s="32" t="n">
        <x:f>D28</x:f>
        <x:v>23.60139980625</x:v>
      </x:c>
      <x:c r="F13" s="32" t="n">
        <x:f>E28</x:f>
        <x:v>26.9527985787375</x:v>
      </x:c>
      <x:c r="G13" s="32" t="n">
        <x:f>F28</x:f>
        <x:v>30.72619037976075</x:v>
      </x:c>
    </x:row>
    <x:row r="14" ht="15" hidden="0" customHeight="1">
      <x:c r="A14" t="str">
        <x:v>Management Rollover</x:v>
      </x:c>
      <x:c r="B14" s="32" t="n">
        <x:f>B9*'Assumptions'!B17</x:f>
        <x:v>182.81000000000003</x:v>
      </x:c>
      <x:c r="C14" s="32" t="n">
        <x:f>C9*'Assumptions'!B17</x:f>
        <x:v>182.81000000000003</x:v>
      </x:c>
      <x:c r="D14" s="32" t="n">
        <x:f>D9*'Assumptions'!B17</x:f>
        <x:v>182.81000000000003</x:v>
      </x:c>
      <x:c r="E14" s="32" t="n">
        <x:f>E9*'Assumptions'!B17</x:f>
        <x:v>182.81000000000003</x:v>
      </x:c>
      <x:c r="F14" s="32" t="n">
        <x:f>F9*'Assumptions'!B17</x:f>
        <x:v>182.81000000000003</x:v>
      </x:c>
      <x:c r="G14" s="32" t="n">
        <x:f>G9*'Assumptions'!B17</x:f>
        <x:v>182.81000000000003</x:v>
      </x:c>
    </x:row>
    <x:row r="15" ht="15" hidden="0" customHeight="1">
      <x:c r="A15" t="str">
        <x:v>Sponsor Equity</x:v>
      </x:c>
      <x:c r="B15" s="32" t="n">
        <x:f>B9-SUM(B12:B14)</x:f>
        <x:v>1771.5650000000005</x:v>
      </x:c>
      <x:c r="C15" s="32" t="n">
        <x:f>C9-SUM(C12:C14)</x:f>
        <x:v>2084.2812500000005</x:v>
      </x:c>
      <x:c r="D15" s="32" t="n">
        <x:f>D9-SUM(D12:D14)</x:f>
        <x:v>2081.6663562500003</x:v>
      </x:c>
      <x:c r="E15" s="32" t="n">
        <x:f>E9-SUM(E12:E14)</x:f>
        <x:v>2078.7136001937506</x:v>
      </x:c>
      <x:c r="F15" s="32" t="n">
        <x:f>F9-SUM(F12:F14)</x:f>
        <x:v>2075.362201421263</x:v>
      </x:c>
      <x:c r="G15" s="32" t="n">
        <x:f>G9-SUM(G12:G14)</x:f>
        <x:v>2071.5888096202398</x:v>
      </x:c>
    </x:row>
    <x:row r="16" ht="15" hidden="0" customHeight="1">
      <x:c r="A16" t="str">
        <x:v>Total Sources</x:v>
      </x:c>
      <x:c r="B16" s="32" t="n">
        <x:f>SUM(B12:B15)</x:f>
        <x:v>2285.1250000000005</x:v>
      </x:c>
      <x:c r="C16" s="32" t="n">
        <x:f>SUM(C12:C15)</x:f>
        <x:v>2285.1250000000005</x:v>
      </x:c>
      <x:c r="D16" s="32" t="n">
        <x:f>SUM(D12:D15)</x:f>
        <x:v>2285.1250000000005</x:v>
      </x:c>
      <x:c r="E16" s="32" t="n">
        <x:f>SUM(E12:E15)</x:f>
        <x:v>2285.1250000000005</x:v>
      </x:c>
      <x:c r="F16" s="32" t="n">
        <x:f>SUM(F12:F15)</x:f>
        <x:v>2285.1250000000005</x:v>
      </x:c>
      <x:c r="G16" s="32" t="n">
        <x:f>SUM(G12:G15)</x:f>
        <x:v>2285.1250000000005</x:v>
      </x:c>
    </x:row>
    <x:row r="17" ht="15" hidden="0" customHeight="1">
      <x:c r="A17" t="str">
        <x:v>Sources / Uses Check</x:v>
      </x:c>
      <x:c r="B17" s="32" t="n">
        <x:f>B16-B9</x:f>
        <x:v>0</x:v>
      </x:c>
      <x:c r="C17" s="32" t="n">
        <x:f>C16-C9</x:f>
        <x:v>0</x:v>
      </x:c>
      <x:c r="D17" s="32" t="n">
        <x:f>D16-D9</x:f>
        <x:v>0</x:v>
      </x:c>
      <x:c r="E17" s="32" t="n">
        <x:f>E16-E9</x:f>
        <x:v>0</x:v>
      </x:c>
      <x:c r="F17" s="32" t="n">
        <x:f>F16-F9</x:f>
        <x:v>0</x:v>
      </x:c>
      <x:c r="G17" s="32" t="n">
        <x:f>G16-G9</x:f>
        <x:v>0</x:v>
      </x:c>
    </x:row>
    <x:row r="18" ht="15" hidden="0" customHeight="1">
      <x:c r="A18" t="str"/>
      <x:c r="B18" s="32"/>
      <x:c r="C18" s="32"/>
      <x:c r="D18" s="32"/>
      <x:c r="E18" s="32"/>
      <x:c r="F18" s="32"/>
      <x:c r="G18" s="32"/>
    </x:row>
    <x:row r="19" ht="15" hidden="0" customHeight="1">
      <x:c r="A19" t="str">
        <x:v>Beginning Senior Debt</x:v>
      </x:c>
      <x:c r="B19" s="32" t="n">
        <x:f>B12</x:f>
        <x:v>315.00000000000006</x:v>
      </x:c>
      <x:c r="C19" s="32" t="n">
        <x:f>B23</x:f>
        <x:v>0</x:v>
      </x:c>
      <x:c r="D19" s="32" t="n">
        <x:f>C23</x:f>
        <x:v>0</x:v>
      </x:c>
      <x:c r="E19" s="32" t="n">
        <x:f>D23</x:f>
        <x:v>0</x:v>
      </x:c>
      <x:c r="F19" s="32" t="n">
        <x:f>E23</x:f>
        <x:v>0</x:v>
      </x:c>
      <x:c r="G19" s="32" t="n">
        <x:f>F23</x:f>
        <x:v>0</x:v>
      </x:c>
    </x:row>
    <x:row r="20" ht="15" hidden="0" customHeight="1">
      <x:c r="A20" t="str">
        <x:v>Senior Cash Interest</x:v>
      </x:c>
      <x:c r="B20" s="32" t="n">
        <x:f>B20*'Assumptions'!E11</x:f>
        <x:v>0</x:v>
      </x:c>
      <x:c r="C20" s="32" t="n">
        <x:f>C20*'Assumptions'!F11</x:f>
        <x:v>0</x:v>
      </x:c>
      <x:c r="D20" s="32" t="n">
        <x:f>D20*'Assumptions'!G11</x:f>
        <x:v>0</x:v>
      </x:c>
      <x:c r="E20" s="32" t="n">
        <x:f>E20*'Assumptions'!H11</x:f>
        <x:v>0</x:v>
      </x:c>
      <x:c r="F20" s="32" t="n">
        <x:f>F20*'Assumptions'!I11</x:f>
        <x:v>0</x:v>
      </x:c>
      <x:c r="G20" s="32" t="n">
        <x:f>G20*'Assumptions'!J11</x:f>
        <x:v>0</x:v>
      </x:c>
    </x:row>
    <x:row r="21" ht="15" hidden="0" customHeight="1">
      <x:c r="A21" t="str">
        <x:v>Mandatory Amortization</x:v>
      </x:c>
      <x:c r="B21" s="32" t="n">
        <x:f>-MIN(B20,'Assumptions'!B23*B20)</x:f>
        <x:v>0</x:v>
      </x:c>
      <x:c r="C21" s="32" t="n">
        <x:f>-MIN(C20,'Assumptions'!B23*C20)</x:f>
        <x:v>0</x:v>
      </x:c>
      <x:c r="D21" s="32" t="n">
        <x:f>-MIN(D20,'Assumptions'!B23*D20)</x:f>
        <x:v>0</x:v>
      </x:c>
      <x:c r="E21" s="32" t="n">
        <x:f>-MIN(E20,'Assumptions'!B23*E20)</x:f>
        <x:v>0</x:v>
      </x:c>
      <x:c r="F21" s="32" t="n">
        <x:f>-MIN(F20,'Assumptions'!B23*F20)</x:f>
        <x:v>0</x:v>
      </x:c>
      <x:c r="G21" s="32" t="n">
        <x:f>-MIN(G20,'Assumptions'!B23*G20)</x:f>
        <x:v>0</x:v>
      </x:c>
    </x:row>
    <x:row r="22" ht="15" hidden="0" customHeight="1">
      <x:c r="A22" t="str">
        <x:v>Cash Sweep</x:v>
      </x:c>
      <x:c r="B22" s="32" t="n">
        <x:f>-MIN(B20+B22,MAX(0,'Operating Model'!B17-B21)*'Assumptions'!E13)</x:f>
        <x:v>0</x:v>
      </x:c>
      <x:c r="C22" s="32" t="n">
        <x:f>-MIN(C20+C22,MAX(0,'Operating Model'!C17-C21)*'Assumptions'!F13)</x:f>
        <x:v>0</x:v>
      </x:c>
      <x:c r="D22" s="32" t="n">
        <x:f>-MIN(D20+D22,MAX(0,'Operating Model'!D17-D21)*'Assumptions'!G13)</x:f>
        <x:v>0</x:v>
      </x:c>
      <x:c r="E22" s="32" t="n">
        <x:f>-MIN(E20+E22,MAX(0,'Operating Model'!E17-E21)*'Assumptions'!H13)</x:f>
        <x:v>0</x:v>
      </x:c>
      <x:c r="F22" s="32" t="n">
        <x:f>-MIN(F20+F22,MAX(0,'Operating Model'!F17-F21)*'Assumptions'!I13)</x:f>
        <x:v>0</x:v>
      </x:c>
      <x:c r="G22" s="32" t="n">
        <x:f>-MIN(G20+G22,MAX(0,'Operating Model'!G17-G21)*'Assumptions'!J13)</x:f>
        <x:v>0</x:v>
      </x:c>
    </x:row>
    <x:row r="23" ht="15" hidden="0" customHeight="1">
      <x:c r="A23" t="str">
        <x:v>Ending Senior Debt</x:v>
      </x:c>
      <x:c r="B23" s="32" t="n">
        <x:f>SUM(B20:B22)</x:f>
        <x:v>0</x:v>
      </x:c>
      <x:c r="C23" s="32" t="n">
        <x:f>SUM(C20:C22)</x:f>
        <x:v>0</x:v>
      </x:c>
      <x:c r="D23" s="32" t="n">
        <x:f>SUM(D20:D22)</x:f>
        <x:v>0</x:v>
      </x:c>
      <x:c r="E23" s="32" t="n">
        <x:f>SUM(E20:E22)</x:f>
        <x:v>0</x:v>
      </x:c>
      <x:c r="F23" s="32" t="n">
        <x:f>SUM(F20:F22)</x:f>
        <x:v>0</x:v>
      </x:c>
      <x:c r="G23" s="32" t="n">
        <x:f>SUM(G20:G22)</x:f>
        <x:v>0</x:v>
      </x:c>
    </x:row>
    <x:row r="24" ht="15" hidden="0" customHeight="1">
      <x:c r="A24" t="str"/>
      <x:c r="B24" s="32"/>
      <x:c r="C24" s="32"/>
      <x:c r="D24" s="32"/>
      <x:c r="E24" s="32"/>
      <x:c r="F24" s="32"/>
      <x:c r="G24" s="32"/>
    </x:row>
    <x:row r="25" ht="15" hidden="0" customHeight="1">
      <x:c r="A25" t="str">
        <x:v>Beginning Sub Debt</x:v>
      </x:c>
      <x:c r="B25" s="32" t="n">
        <x:f>B13</x:f>
        <x:v>15.750000000000002</x:v>
      </x:c>
      <x:c r="C25" s="32" t="n">
        <x:f>B28</x:f>
        <x:v>18.03375</x:v>
      </x:c>
      <x:c r="D25" s="32" t="n">
        <x:f>C28</x:f>
        <x:v>20.64864375</x:v>
      </x:c>
      <x:c r="E25" s="32" t="n">
        <x:f>D28</x:f>
        <x:v>23.60139980625</x:v>
      </x:c>
      <x:c r="F25" s="32" t="n">
        <x:f>E28</x:f>
        <x:v>26.9527985787375</x:v>
      </x:c>
      <x:c r="G25" s="32" t="n">
        <x:f>F28</x:f>
        <x:v>30.72619037976075</x:v>
      </x:c>
    </x:row>
    <x:row r="26" ht="15" hidden="0" customHeight="1">
      <x:c r="A26" t="str">
        <x:v>Sub Cash Interest</x:v>
      </x:c>
      <x:c r="B26" s="32" t="n">
        <x:f>B25*'Assumptions'!E12</x:f>
        <x:v>1.65375</x:v>
      </x:c>
      <x:c r="C26" s="32" t="n">
        <x:f>C25*'Assumptions'!F12</x:f>
        <x:v>1.89354375</x:v>
      </x:c>
      <x:c r="D26" s="32" t="n">
        <x:f>D25*'Assumptions'!G12</x:f>
        <x:v>2.12681030625</x:v>
      </x:c>
      <x:c r="E26" s="32" t="n">
        <x:f>E25*'Assumptions'!H12</x:f>
        <x:v>2.4073427802375</x:v>
      </x:c>
      <x:c r="F26" s="32" t="n">
        <x:f>F25*'Assumptions'!I12</x:f>
        <x:v>2.69527985787375</x:v>
      </x:c>
      <x:c r="G26" s="32" t="n">
        <x:f>G25*'Assumptions'!J12</x:f>
        <x:v>3.072619037976075</x:v>
      </x:c>
    </x:row>
    <x:row r="27" ht="15" hidden="0" customHeight="1">
      <x:c r="A27" t="str">
        <x:v>PIK Interest</x:v>
      </x:c>
      <x:c r="B27" s="32" t="n">
        <x:f>B25*'Assumptions'!B24</x:f>
        <x:v>0.6300000000000001</x:v>
      </x:c>
      <x:c r="C27" s="32" t="n">
        <x:f>C25*'Assumptions'!B24</x:f>
        <x:v>0.72135</x:v>
      </x:c>
      <x:c r="D27" s="32" t="n">
        <x:f>D25*'Assumptions'!B24</x:f>
        <x:v>0.82594575</x:v>
      </x:c>
      <x:c r="E27" s="32" t="n">
        <x:f>E25*'Assumptions'!B24</x:f>
        <x:v>0.94405599225</x:v>
      </x:c>
      <x:c r="F27" s="32" t="n">
        <x:f>F25*'Assumptions'!B24</x:f>
        <x:v>1.0781119431495</x:v>
      </x:c>
      <x:c r="G27" s="32" t="n">
        <x:f>G25*'Assumptions'!B24</x:f>
        <x:v>1.2290476151904302</x:v>
      </x:c>
    </x:row>
    <x:row r="28" ht="15" hidden="0" customHeight="1">
      <x:c r="A28" t="str">
        <x:v>Ending Sub Debt</x:v>
      </x:c>
      <x:c r="B28" s="32" t="n">
        <x:f>SUM(B25:B27)</x:f>
        <x:v>18.03375</x:v>
      </x:c>
      <x:c r="C28" s="32" t="n">
        <x:f>SUM(C25:C27)</x:f>
        <x:v>20.64864375</x:v>
      </x:c>
      <x:c r="D28" s="32" t="n">
        <x:f>SUM(D25:D27)</x:f>
        <x:v>23.60139980625</x:v>
      </x:c>
      <x:c r="E28" s="32" t="n">
        <x:f>SUM(E25:E27)</x:f>
        <x:v>26.9527985787375</x:v>
      </x:c>
      <x:c r="F28" s="32" t="n">
        <x:f>SUM(F25:F27)</x:f>
        <x:v>30.72619037976075</x:v>
      </x:c>
      <x:c r="G28" s="32" t="n">
        <x:f>SUM(G25:G27)</x:f>
        <x:v>35.02785703292726</x:v>
      </x:c>
    </x:row>
    <x:row r="29" ht="15" hidden="0" customHeight="1">
      <x:c r="A29" t="str"/>
      <x:c r="B29" s="32"/>
      <x:c r="C29" s="32"/>
      <x:c r="D29" s="32"/>
      <x:c r="E29" s="32"/>
      <x:c r="F29" s="32"/>
      <x:c r="G29" s="32"/>
    </x:row>
    <x:row r="30" ht="15" hidden="0" customHeight="1">
      <x:c r="A30" t="str">
        <x:v>Total Debt</x:v>
      </x:c>
      <x:c r="B30" s="32" t="n">
        <x:f>B23+B28</x:f>
        <x:v>18.03375</x:v>
      </x:c>
      <x:c r="C30" s="32" t="n">
        <x:f>C23+C28</x:f>
        <x:v>20.64864375</x:v>
      </x:c>
      <x:c r="D30" s="32" t="n">
        <x:f>D23+D28</x:f>
        <x:v>23.60139980625</x:v>
      </x:c>
      <x:c r="E30" s="32" t="n">
        <x:f>E23+E28</x:f>
        <x:v>26.9527985787375</x:v>
      </x:c>
      <x:c r="F30" s="32" t="n">
        <x:f>F23+F28</x:f>
        <x:v>30.72619037976075</x:v>
      </x:c>
      <x:c r="G30" s="32" t="n">
        <x:f>G23+G28</x:f>
        <x:v>35.02785703292726</x:v>
      </x:c>
    </x:row>
    <x:row r="31" ht="15" hidden="0" customHeight="1">
      <x:c r="A31" t="str">
        <x:v>Cash Available for Debt Paydown</x:v>
      </x:c>
      <x:c r="B31" s="32" t="n">
        <x:f>MAX(0,'Operating Model'!B17-B21)</x:f>
        <x:v>130.31250000000003</x:v>
      </x:c>
      <x:c r="C31" s="32" t="n">
        <x:f>MAX(0,'Operating Model'!C17-C21)</x:f>
        <x:v>135.928125</x:v>
      </x:c>
      <x:c r="D31" s="32" t="n">
        <x:f>MAX(0,'Operating Model'!D17-D21)</x:f>
        <x:v>150.2928</x:v>
      </x:c>
      <x:c r="E31" s="32" t="n">
        <x:f>MAX(0,'Operating Model'!E17-E21)</x:f>
        <x:v>164.17481540624996</x:v>
      </x:c>
      <x:c r="F31" s="32" t="n">
        <x:f>MAX(0,'Operating Model'!F17-F21)</x:f>
        <x:v>175.70811851859372</x:v>
      </x:c>
      <x:c r="G31" s="32" t="n">
        <x:f>MAX(0,'Operating Model'!G17-G21)</x:f>
        <x:v>185.56351473832024</x:v>
      </x:c>
    </x:row>
    <x:row r="32" ht="15" hidden="0" customHeight="1">
      <x:c r="A32" t="str">
        <x:v>Total Cash Interest</x:v>
      </x:c>
      <x:c r="B32" s="32" t="n">
        <x:f>B21+B26</x:f>
        <x:v>1.65375</x:v>
      </x:c>
      <x:c r="C32" s="32" t="n">
        <x:f>C21+C26</x:f>
        <x:v>1.89354375</x:v>
      </x:c>
      <x:c r="D32" s="32" t="n">
        <x:f>D21+D26</x:f>
        <x:v>2.12681030625</x:v>
      </x:c>
      <x:c r="E32" s="32" t="n">
        <x:f>E21+E26</x:f>
        <x:v>2.4073427802375</x:v>
      </x:c>
      <x:c r="F32" s="32" t="n">
        <x:f>F21+F26</x:f>
        <x:v>2.69527985787375</x:v>
      </x:c>
      <x:c r="G32" s="32" t="n">
        <x:f>G21+G26</x:f>
        <x:v>3.072619037976075</x:v>
      </x:c>
    </x:row>
    <x:row r="33" ht="15" hidden="0" customHeight="1">
      <x:c r="A33" t="str">
        <x:v>Interest Coverage</x:v>
      </x:c>
      <x:c r="B33" s="35" t="n">
        <x:f>'Operating Model'!B8/B32</x:f>
        <x:v>126.984126984127</x:v>
      </x:c>
      <x:c r="C33" s="35" t="n">
        <x:f>'Operating Model'!C8/C32</x:f>
        <x:v>120.22101416986007</x:v>
      </x:c>
      <x:c r="D33" s="35" t="n">
        <x:f>'Operating Model'!D8/D32</x:f>
        <x:v>115.99244971450777</x:v>
      </x:c>
      <x:c r="E33" s="35" t="n">
        <x:f>'Operating Model'!E8/E32</x:f>
        <x:v>110.49698460422698</x:v>
      </x:c>
      <x:c r="F33" s="35" t="n">
        <x:f>'Operating Model'!F8/F32</x:f>
        <x:v>105.1795242646483</x:v>
      </x:c>
      <x:c r="G33" s="35" t="n">
        <x:f>'Operating Model'!G8/G32</x:f>
        <x:v>97.52605128742557</x:v>
      </x:c>
    </x:row>
    <x:row r="34" ht="15" hidden="0" customHeight="1">
      <x:c r="A34" t="str">
        <x:v>Net Debt / EBITDA</x:v>
      </x:c>
      <x:c r="B34" s="35" t="n">
        <x:f>B30/'Operating Model'!B8</x:f>
        <x:v>0.08587499999999999</x:v>
      </x:c>
      <x:c r="C34" s="35" t="n">
        <x:f>C30/'Operating Model'!C8</x:f>
        <x:v>0.09070595502841612</x:v>
      </x:c>
      <x:c r="D34" s="35" t="n">
        <x:f>D30/'Operating Model'!D8</x:f>
        <x:v>0.09567077345080685</x:v>
      </x:c>
      <x:c r="E34" s="35" t="n">
        <x:f>E30/'Operating Model'!E8</x:f>
        <x:v>0.10132474176986955</x:v>
      </x:c>
      <x:c r="F34" s="35" t="n">
        <x:f>F30/'Operating Model'!F8</x:f>
        <x:v>0.10838611488026699</x:v>
      </x:c>
      <x:c r="G34" s="35" t="n">
        <x:f>G30/'Operating Model'!G8</x:f>
        <x:v>0.11689184427658508</x:v>
      </x:c>
    </x:row>
  </x:sheetData>
  <x:mergeCells>
    <x:mergeCell ref="A1:H1"/>
    <x:mergeCell ref="A5:G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.670000076293945" hidden="0" customWidth="1"/>
    <x:col min="2" max="2" width="19.440000534057617" hidden="0" customWidth="1"/>
    <x:col min="3" max="3" width="19.440000534057617" hidden="0" customWidth="1"/>
    <x:col min="4" max="4" width="17.780000686645508" hidden="0" customWidth="1"/>
    <x:col min="5" max="5" width="14.329999923706055" hidden="0" customWidth="1"/>
    <x:col min="6" max="6" width="14.329999923706055" hidden="0" customWidth="1"/>
    <x:col min="7" max="7" width="14.329999923706055" hidden="0" customWidth="1"/>
    <x:col min="8" max="8" width="14.329999923706055" hidden="0" customWidth="1"/>
    <x:col min="9" max="9" width="14.329999923706055" hidden="0" customWidth="1"/>
    <x:col min="10" max="10" width="14.329999923706055" hidden="0" customWidth="1"/>
    <x:col min="11" max="11" width="14.329999923706055" hidden="0" customWidth="1"/>
    <x:col min="12" max="12" width="5.440000057220459" hidden="0" customWidth="1"/>
  </x:cols>
  <x:sheetData>
    <x:row r="1" ht="19.200000762939453" hidden="0" customHeight="1">
      <x:c r="A1" s="6" t="str">
        <x:v>Returns</x:v>
      </x:c>
      <x:c r="B1" s="6"/>
      <x:c r="C1" s="6"/>
      <x:c r="D1" s="6"/>
      <x:c r="E1" s="6"/>
      <x:c r="F1" s="6"/>
      <x:c r="G1" s="6"/>
      <x:c r="H1" s="6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/>
    <x:row r="3" ht="15" hidden="0" customHeight="1">
      <x:c r="A3" s="15" t="str">
        <x:v>Sponsor Return Summary</x:v>
      </x:c>
      <x:c r="B3" s="15" t="str">
        <x:v>Sponsor Return Summary</x:v>
      </x:c>
      <x:c r="C3" s="15" t="str">
        <x:v>Sponsor Return Summary</x:v>
      </x:c>
      <x:c r="D3" s="15" t="str">
        <x:v>Cash Flow Returns</x:v>
      </x:c>
      <x:c r="E3" s="15" t="str">
        <x:v>Cash Flow Returns</x:v>
      </x:c>
      <x:c r="F3" s="15" t="str">
        <x:v>Cash Flow Returns</x:v>
      </x:c>
      <x:c r="G3" s="15" t="str">
        <x:v>Cash Flow Returns</x:v>
      </x:c>
      <x:c r="H3" s="15" t="str">
        <x:v>Cash Flow Returns</x:v>
      </x:c>
      <x:c r="I3" s="15" t="str">
        <x:v>Cash Flow Returns</x:v>
      </x:c>
      <x:c r="J3" s="15" t="str">
        <x:v>Cash Flow Returns</x:v>
      </x:c>
      <x:c r="K3" s="15" t="str">
        <x:v>Cash Flow Returns</x:v>
      </x:c>
    </x:row>
    <x:row r="4" ht="15" hidden="0" customHeight="1">
      <x:c r="A4" t="str">
        <x:v>Entry Enterprise Value</x:v>
      </x:c>
      <x:c r="B4" s="32" t="n">
        <x:f>'Debt Schedule'!B6</x:f>
        <x:v>2205.0000000000005</x:v>
      </x:c>
      <x:c r="D4" s="20" t="str">
        <x:v>Metric</x:v>
      </x:c>
      <x:c r="E4" s="21" t="str">
        <x:v>Entry</x:v>
      </x:c>
      <x:c r="F4" s="21" t="str">
        <x:v>2026E</x:v>
      </x:c>
      <x:c r="G4" s="21" t="str">
        <x:v>2027E</x:v>
      </x:c>
      <x:c r="H4" s="21" t="str">
        <x:v>2028E</x:v>
      </x:c>
      <x:c r="I4" s="21" t="str">
        <x:v>2029E</x:v>
      </x:c>
      <x:c r="J4" s="21" t="str">
        <x:v>2030E</x:v>
      </x:c>
      <x:c r="K4" s="21" t="str">
        <x:v>2031E</x:v>
      </x:c>
      <x:c r="L4" s="22" t="str">
        <x:v>Exit</x:v>
      </x:c>
    </x:row>
    <x:row r="5" ht="15" hidden="0" customHeight="1">
      <x:c r="A5" t="str">
        <x:v>Entry Fees</x:v>
      </x:c>
      <x:c r="B5" s="32" t="n">
        <x:f>'Debt Schedule'!B7</x:f>
        <x:v>55.125000000000014</x:v>
      </x:c>
      <x:c r="D5" t="str">
        <x:v>Sponsor Equity</x:v>
      </x:c>
      <x:c r="E5" s="32" t="n">
        <x:f>-B10</x:f>
        <x:v>-1771.5650000000005</x:v>
      </x:c>
      <x:c r="F5" s="32"/>
      <x:c r="G5" s="32"/>
      <x:c r="H5" s="32"/>
      <x:c r="I5" s="32"/>
      <x:c r="J5" s="32"/>
      <x:c r="K5" s="32"/>
      <x:c r="L5" s="32"/>
    </x:row>
    <x:row r="6" ht="15" hidden="0" customHeight="1">
      <x:c r="A6" t="str">
        <x:v>Gross Uses</x:v>
      </x:c>
      <x:c r="B6" s="32" t="n">
        <x:f>'Debt Schedule'!B9</x:f>
        <x:v>2285.1250000000005</x:v>
      </x:c>
      <x:c r="D6" t="str">
        <x:v>FCF to Sponsor</x:v>
      </x:c>
      <x:c r="E6" s="32"/>
      <x:c r="F6" s="32" t="n">
        <x:f>'Operating Model'!B17</x:f>
        <x:v>130.31250000000003</x:v>
      </x:c>
      <x:c r="G6" s="32" t="n">
        <x:f>'Operating Model'!C17</x:f>
        <x:v>135.928125</x:v>
      </x:c>
      <x:c r="H6" s="32" t="n">
        <x:f>'Operating Model'!D17</x:f>
        <x:v>150.2928</x:v>
      </x:c>
      <x:c r="I6" s="32" t="n">
        <x:f>'Operating Model'!E17</x:f>
        <x:v>164.17481540624996</x:v>
      </x:c>
      <x:c r="J6" s="32" t="n">
        <x:f>'Operating Model'!F17</x:f>
        <x:v>175.70811851859372</x:v>
      </x:c>
      <x:c r="K6" s="32" t="n">
        <x:f>'Operating Model'!G17</x:f>
        <x:v>185.56351473832024</x:v>
      </x:c>
      <x:c r="L6" s="32"/>
    </x:row>
    <x:row r="7" ht="15" hidden="0" customHeight="1">
      <x:c r="A7" t="str">
        <x:v>Initial Senior Debt</x:v>
      </x:c>
      <x:c r="B7" s="32" t="n">
        <x:f>'Debt Schedule'!B12</x:f>
        <x:v>315.00000000000006</x:v>
      </x:c>
      <x:c r="D7" t="str">
        <x:v>Exit Proceeds</x:v>
      </x:c>
      <x:c r="E7" s="32"/>
      <x:c r="F7" s="32"/>
      <x:c r="G7" s="32"/>
      <x:c r="H7" s="32"/>
      <x:c r="I7" s="32"/>
      <x:c r="J7" s="32"/>
      <x:c r="K7" s="32"/>
      <x:c r="L7" s="32" t="n">
        <x:f>B18</x:f>
        <x:v>3076.1517202763284</x:v>
      </x:c>
    </x:row>
    <x:row r="8" ht="15" hidden="0" customHeight="1">
      <x:c r="A8" t="str">
        <x:v>Initial Sub Debt</x:v>
      </x:c>
      <x:c r="B8" s="32" t="n">
        <x:f>'Debt Schedule'!B13</x:f>
        <x:v>15.750000000000002</x:v>
      </x:c>
      <x:c r="D8" t="str">
        <x:v>Net Sponsor Cash Flow</x:v>
      </x:c>
      <x:c r="E8" s="32" t="n">
        <x:f>SUM(E5:E7)</x:f>
        <x:v>-1771.5650000000005</x:v>
      </x:c>
      <x:c r="F8" s="32" t="n">
        <x:f>SUM(F5:F7)</x:f>
        <x:v>130.31250000000003</x:v>
      </x:c>
      <x:c r="G8" s="32" t="n">
        <x:f>SUM(G5:G7)</x:f>
        <x:v>135.928125</x:v>
      </x:c>
      <x:c r="H8" s="32" t="n">
        <x:f>SUM(H5:H7)</x:f>
        <x:v>150.2928</x:v>
      </x:c>
      <x:c r="I8" s="32" t="n">
        <x:f>SUM(I5:I7)</x:f>
        <x:v>164.17481540624996</x:v>
      </x:c>
      <x:c r="J8" s="32" t="n">
        <x:f>SUM(J5:J7)</x:f>
        <x:v>175.70811851859372</x:v>
      </x:c>
      <x:c r="K8" s="32" t="n">
        <x:f>SUM(K5:K7)</x:f>
        <x:v>185.56351473832024</x:v>
      </x:c>
      <x:c r="L8" s="32" t="n">
        <x:f>SUM(L5:L7)</x:f>
        <x:v>3076.1517202763284</x:v>
      </x:c>
    </x:row>
    <x:row r="9" ht="15" hidden="0" customHeight="1">
      <x:c r="A9" t="str">
        <x:v>Management Rollover</x:v>
      </x:c>
      <x:c r="B9" s="32" t="n">
        <x:f>'Debt Schedule'!B14</x:f>
        <x:v>182.81000000000003</x:v>
      </x:c>
      <x:c r="D9" t="str">
        <x:v>Cumulative Cash Flow</x:v>
      </x:c>
      <x:c r="E9" s="32" t="n">
        <x:f>E8</x:f>
        <x:v>-1771.5650000000005</x:v>
      </x:c>
      <x:c r="F9" s="32" t="n">
        <x:f>E9+F8</x:f>
        <x:v>-1641.2525000000005</x:v>
      </x:c>
      <x:c r="G9" s="32" t="n">
        <x:f>F9+G8</x:f>
        <x:v>-1505.3243750000006</x:v>
      </x:c>
      <x:c r="H9" s="32" t="n">
        <x:f>G9+H8</x:f>
        <x:v>-1355.0315750000007</x:v>
      </x:c>
      <x:c r="I9" s="32" t="n">
        <x:f>H9+I8</x:f>
        <x:v>-1190.8567595937507</x:v>
      </x:c>
      <x:c r="J9" s="32" t="n">
        <x:f>I9+J8</x:f>
        <x:v>-1015.148641075157</x:v>
      </x:c>
      <x:c r="K9" s="32" t="n">
        <x:f>J9+K8</x:f>
        <x:v>-829.5851263368368</x:v>
      </x:c>
      <x:c r="L9" s="32" t="n">
        <x:f>K9+L8</x:f>
        <x:v>2246.5665939394917</x:v>
      </x:c>
    </x:row>
    <x:row r="10" ht="15" hidden="0" customHeight="1">
      <x:c r="A10" t="str">
        <x:v>Sponsor Equity</x:v>
      </x:c>
      <x:c r="B10" s="32" t="n">
        <x:f>'Debt Schedule'!B15</x:f>
        <x:v>1771.5650000000005</x:v>
      </x:c>
      <x:c r="D10" t="str">
        <x:v>Return Multiple</x:v>
      </x:c>
      <x:c r="E10" s="35" t="n">
        <x:f>L9/ABS(E5)</x:f>
        <x:v>1.2681254111136149</x:v>
      </x:c>
      <x:c r="F10" s="35" t="n">
        <x:f>L9/ABS(E5)</x:f>
        <x:v>1.2681254111136149</x:v>
      </x:c>
      <x:c r="G10" s="35" t="n">
        <x:f>L9/ABS(E5)</x:f>
        <x:v>1.2681254111136149</x:v>
      </x:c>
      <x:c r="H10" s="35" t="n">
        <x:f>L9/ABS(E5)</x:f>
        <x:v>1.2681254111136149</x:v>
      </x:c>
      <x:c r="I10" s="35" t="n">
        <x:f>L9/ABS(E5)</x:f>
        <x:v>1.2681254111136149</x:v>
      </x:c>
      <x:c r="J10" s="35" t="n">
        <x:f>L9/ABS(E5)</x:f>
        <x:v>1.2681254111136149</x:v>
      </x:c>
      <x:c r="K10" s="35" t="n">
        <x:f>L9/ABS(E5)</x:f>
        <x:v>1.2681254111136149</x:v>
      </x:c>
      <x:c r="L10" s="35" t="n">
        <x:f>L9/ABS(E5)</x:f>
        <x:v>1.2681254111136149</x:v>
      </x:c>
    </x:row>
    <x:row r="11" ht="15" hidden="0" customHeight="1">
      <x:c r="A11" t="str"/>
      <x:c r="B11" s="32"/>
    </x:row>
    <x:row r="12" ht="15" hidden="0" customHeight="1">
      <x:c r="A12" t="str">
        <x:v>Exit Enterprise Value</x:v>
      </x:c>
      <x:c r="B12" s="32" t="n">
        <x:f>'Operating Model'!G26</x:f>
        <x:v>3296.2644207281246</x:v>
      </x:c>
    </x:row>
    <x:row r="13" ht="15" hidden="0" customHeight="1">
      <x:c r="A13" t="str">
        <x:v>Less: Sponsor Exit Fees</x:v>
      </x:c>
      <x:c r="B13" s="32" t="n">
        <x:f>-'Operating Model'!G27</x:f>
        <x:v>82.40661051820312</x:v>
      </x:c>
    </x:row>
    <x:row r="14" ht="15" hidden="0" customHeight="1">
      <x:c r="A14" t="str">
        <x:v>Less: Ending Senior Debt</x:v>
      </x:c>
      <x:c r="B14" s="32" t="n">
        <x:f>-'Debt Schedule'!G23</x:f>
        <x:v>0</x:v>
      </x:c>
    </x:row>
    <x:row r="15" ht="15" hidden="0" customHeight="1">
      <x:c r="A15" t="str">
        <x:v>Less: Ending Sub Debt</x:v>
      </x:c>
      <x:c r="B15" s="32" t="n">
        <x:f>-'Debt Schedule'!G28</x:f>
        <x:v>-35.02785703292726</x:v>
      </x:c>
    </x:row>
    <x:row r="16" ht="15" hidden="0" customHeight="1">
      <x:c r="A16" t="str">
        <x:v>Exit Equity Value</x:v>
      </x:c>
      <x:c r="B16" s="32" t="n">
        <x:f>SUM(B12:B15)</x:f>
        <x:v>3343.6431742134005</x:v>
      </x:c>
    </x:row>
    <x:row r="17" ht="15" hidden="0" customHeight="1">
      <x:c r="A17" t="str">
        <x:v>Sponsor Ownership</x:v>
      </x:c>
      <x:c r="B17" s="32" t="n">
        <x:f>1-'Assumptions'!B17</x:f>
        <x:v>0.92</x:v>
      </x:c>
    </x:row>
    <x:row r="18" ht="15" hidden="0" customHeight="1">
      <x:c r="A18" t="str">
        <x:v>Sponsor Exit Proceeds</x:v>
      </x:c>
      <x:c r="B18" s="32" t="n">
        <x:f>B16*B17</x:f>
        <x:v>3076.1517202763284</x:v>
      </x:c>
    </x:row>
    <x:row r="19" ht="15" hidden="0" customHeight="1">
      <x:c r="A19" t="str"/>
      <x:c r="B19" s="32"/>
    </x:row>
    <x:row r="20" ht="15" hidden="0" customHeight="1">
      <x:c r="A20" t="str">
        <x:v>MOIC</x:v>
      </x:c>
      <x:c r="B20" s="35" t="n">
        <x:f>B18/B10</x:f>
        <x:v>1.736403530367967</x:v>
      </x:c>
    </x:row>
    <x:row r="21" ht="15" hidden="0" customHeight="1">
      <x:c r="A21" t="str">
        <x:v>IRR</x:v>
      </x:c>
      <x:c r="B21" s="35" t="n">
        <x:f>(B18/B10)^(1/6)-1</x:f>
        <x:v>0.09633120761120728</x:v>
      </x:c>
    </x:row>
    <x:row r="22" ht="15" hidden="0" customHeight="1">
      <x:c r="A22" t="str">
        <x:v>WACC / Discount Rate</x:v>
      </x:c>
      <x:c r="B22" s="33" t="n">
        <x:v>0.12</x:v>
      </x:c>
    </x:row>
    <x:row r="23" ht="15" hidden="0" customHeight="1">
      <x:c r="A23" t="str">
        <x:v>PV of FCF</x:v>
      </x:c>
      <x:c r="B23" s="18" t="n">
        <x:f>SUM('Operating Model'!B24:G24)</x:f>
        <x:v>941.979873663164</x:v>
      </x:c>
    </x:row>
    <x:row r="24" ht="15" hidden="0" customHeight="1">
      <x:c r="A24" t="str">
        <x:v>Enterprise Value DCF Cross-check</x:v>
      </x:c>
      <x:c r="B24" t="n">
        <x:f>B23+'Operating Model'!G28*'Operating Model'!G23</x:f>
        <x:v>4155.837683873086</x:v>
      </x:c>
    </x:row>
  </x:sheetData>
  <x:mergeCells>
    <x:mergeCell ref="A1:H1"/>
    <x:mergeCell ref="A3:E3"/>
    <x:mergeCell ref="D3:K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559999465942383" hidden="0" customWidth="1"/>
    <x:col min="2" max="2" width="10" hidden="0" customWidth="1"/>
    <x:col min="3" max="3" width="7.329999923706055" hidden="0" customWidth="1"/>
    <x:col min="4" max="4" width="3.6700000762939453" hidden="0" customWidth="1"/>
    <x:col min="5" max="5" width="4.559999942779541" hidden="0" customWidth="1"/>
    <x:col min="6" max="6" width="4.559999942779541" hidden="0" customWidth="1"/>
    <x:col min="7" max="7" width="4.559999942779541" hidden="0" customWidth="1"/>
    <x:col min="8" max="8" width="4.559999942779541" hidden="0" customWidth="1"/>
    <x:col min="13" max="13" width="36" hidden="0" customWidth="1"/>
    <x:col min="14" max="14" width="6.21999979019165" hidden="0" customWidth="1"/>
    <x:col min="15" max="15" width="6.21999979019165" hidden="0" customWidth="1"/>
    <x:col min="16" max="16" width="6.21999979019165" hidden="0" customWidth="1"/>
    <x:col min="17" max="17" width="6.21999979019165" hidden="0" customWidth="1"/>
    <x:col min="18" max="18" width="6.21999979019165" hidden="0" customWidth="1"/>
    <x:col min="19" max="19" width="6.21999979019165" hidden="0" customWidth="1"/>
    <x:col min="20" max="20" width="6.21999979019165" hidden="0" customWidth="1"/>
  </x:cols>
  <x:sheetData>
    <x:row r="1" ht="19.200000762939453" hidden="0" customHeight="1">
      <x:c r="A1" s="6" t="str">
        <x:v>Sensitivity Tables</x:v>
      </x:c>
      <x:c r="B1" s="6"/>
      <x:c r="C1" s="6"/>
      <x:c r="D1" s="6"/>
      <x:c r="E1" s="6"/>
      <x:c r="F1" s="6"/>
      <x:c r="G1" s="6"/>
      <x:c r="H1" s="6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/>
    <x:row r="3" ht="15" hidden="0" customHeight="1">
      <x:c r="A3" t="str">
        <x:v>Output Cell</x:v>
      </x:c>
      <x:c r="B3" s="31" t="n">
        <x:f>'Returns'!B21</x:f>
        <x:v>0.09633120761120728</x:v>
      </x:c>
      <x:c r="C3" s="31" t="str">
        <x:v>Base IRR</x:v>
      </x:c>
      <x:c r="D3" s="31" t="n">
        <x:f>'Returns'!B22</x:f>
        <x:v>0.12</x:v>
      </x:c>
    </x:row>
    <x:row r="4"/>
    <x:row r="5" ht="15" hidden="0" customHeight="1">
      <x:c r="A5" s="15" t="str">
        <x:v>1. Exit Multiple x Purchase Multiple</x:v>
      </x:c>
      <x:c r="B5" s="15"/>
      <x:c r="C5" s="15"/>
      <x:c r="D5" s="15"/>
      <x:c r="E5" s="15"/>
      <x:c r="F5" s="15"/>
      <x:c r="G5" s="15"/>
      <x:c r="H5" s="15"/>
      <x:c r="I5" s="15"/>
      <x:c r="M5" s="15" t="str">
        <x:v>2. Exit Multiple x Leverage</x:v>
      </x:c>
      <x:c r="N5" s="15"/>
      <x:c r="O5" s="15"/>
      <x:c r="P5" s="15"/>
      <x:c r="Q5" s="15"/>
      <x:c r="R5" s="15"/>
      <x:c r="S5" s="15"/>
      <x:c r="T5" s="15"/>
      <x:c r="U5" s="15"/>
    </x:row>
    <x:row r="6" ht="15" hidden="0" customHeight="1">
      <x:c r="A6" s="39" t="str">
        <x:v>MOIC</x:v>
      </x:c>
      <x:c r="B6" s="39" t="n">
        <x:v>8.5</x:v>
      </x:c>
      <x:c r="C6" s="39" t="n">
        <x:v>9</x:v>
      </x:c>
      <x:c r="D6" s="39" t="n">
        <x:v>9.5</x:v>
      </x:c>
      <x:c r="E6" s="39" t="n">
        <x:v>10</x:v>
      </x:c>
      <x:c r="F6" s="39" t="n">
        <x:v>10.5</x:v>
      </x:c>
      <x:c r="G6" s="39" t="n">
        <x:v>11</x:v>
      </x:c>
      <x:c r="H6" s="39" t="n">
        <x:v>11.5</x:v>
      </x:c>
      <x:c r="M6" s="40" t="str">
        <x:v>IRR</x:v>
      </x:c>
      <x:c r="N6" s="40" t="n">
        <x:v>3.5</x:v>
      </x:c>
      <x:c r="O6" s="40" t="n">
        <x:v>4</x:v>
      </x:c>
      <x:c r="P6" s="40" t="n">
        <x:v>4.5</x:v>
      </x:c>
      <x:c r="Q6" s="40" t="n">
        <x:v>5</x:v>
      </x:c>
      <x:c r="R6" s="40" t="n">
        <x:v>5.5</x:v>
      </x:c>
      <x:c r="S6" s="40" t="n">
        <x:v>6</x:v>
      </x:c>
      <x:c r="T6" s="40" t="n">
        <x:v>6.5</x:v>
      </x:c>
    </x:row>
    <x:row r="7" ht="15" hidden="0" customHeight="1">
      <x:c r="A7" s="39" t="n">
        <x:v>8.5</x:v>
      </x:c>
      <x:c r="B7" s="39" t="n">
        <x:f>'Returns'!$B$21*(A7/'Assumptions'!$B$10)*(B6/'Assumptions'!$B$6)</x:f>
        <x:v>0.06025913203385044</x:v>
      </x:c>
      <x:c r="C7" s="39" t="n">
        <x:f>'Returns'!$B$21*(A7/'Assumptions'!$B$10)*(C6/'Assumptions'!$B$6)</x:f>
        <x:v>0.06380378685937106</x:v>
      </x:c>
      <x:c r="D7" s="39" t="n">
        <x:f>'Returns'!$B$21*(A7/'Assumptions'!$B$10)*(D6/'Assumptions'!$B$6)</x:f>
        <x:v>0.06734844168489168</x:v>
      </x:c>
      <x:c r="E7" s="39" t="n">
        <x:f>'Returns'!$B$21*(A7/'Assumptions'!$B$10)*(E6/'Assumptions'!$B$6)</x:f>
        <x:v>0.07089309651041228</x:v>
      </x:c>
      <x:c r="F7" s="39" t="n">
        <x:f>'Returns'!$B$21*(A7/'Assumptions'!$B$10)*(F6/'Assumptions'!$B$6)</x:f>
        <x:v>0.0744377513359329</x:v>
      </x:c>
      <x:c r="G7" s="39" t="n">
        <x:f>'Returns'!$B$21*(A7/'Assumptions'!$B$10)*(G6/'Assumptions'!$B$6)</x:f>
        <x:v>0.07798240616145352</x:v>
      </x:c>
      <x:c r="H7" s="39" t="n">
        <x:f>'Returns'!$B$21*(A7/'Assumptions'!$B$10)*(H6/'Assumptions'!$B$6)</x:f>
        <x:v>0.08152706098697414</x:v>
      </x:c>
      <x:c r="M7" s="40" t="n">
        <x:v>8.5</x:v>
      </x:c>
      <x:c r="N7" s="40" t="n">
        <x:f>'Returns'!$B$22+(M7-'Assumptions'!$B$10)*2.0%-(N6-'Assumptions'!$B$19)*1.2%</x:f>
        <x:v>0.04599999999999999</x:v>
      </x:c>
      <x:c r="O7" s="40" t="n">
        <x:f>'Returns'!$B$22+(M7-'Assumptions'!$B$10)*2.0%-(O6-'Assumptions'!$B$19)*1.2%</x:f>
        <x:v>0.039999999999999994</x:v>
      </x:c>
      <x:c r="P7" s="40" t="n">
        <x:f>'Returns'!$B$22+(M7-'Assumptions'!$B$10)*2.0%-(P6-'Assumptions'!$B$19)*1.2%</x:f>
        <x:v>0.03399999999999999</x:v>
      </x:c>
      <x:c r="Q7" s="40" t="n">
        <x:f>'Returns'!$B$22+(M7-'Assumptions'!$B$10)*2.0%-(Q6-'Assumptions'!$B$19)*1.2%</x:f>
        <x:v>0.02799999999999999</x:v>
      </x:c>
      <x:c r="R7" s="40" t="n">
        <x:f>'Returns'!$B$22+(M7-'Assumptions'!$B$10)*2.0%-(R6-'Assumptions'!$B$19)*1.2%</x:f>
        <x:v>0.021999999999999992</x:v>
      </x:c>
      <x:c r="S7" s="40" t="n">
        <x:f>'Returns'!$B$22+(M7-'Assumptions'!$B$10)*2.0%-(S6-'Assumptions'!$B$19)*1.2%</x:f>
        <x:v>0.015999999999999993</x:v>
      </x:c>
      <x:c r="T7" s="40" t="n">
        <x:f>'Returns'!$B$22+(M7-'Assumptions'!$B$10)*2.0%-(T6-'Assumptions'!$B$19)*1.2%</x:f>
        <x:v>0.009999999999999995</x:v>
      </x:c>
    </x:row>
    <x:row r="8" ht="15" hidden="0" customHeight="1">
      <x:c r="A8" s="39" t="n">
        <x:v>9</x:v>
      </x:c>
      <x:c r="B8" s="39" t="n">
        <x:f>'Returns'!$B$21*(A8/'Assumptions'!$B$10)*(B6/'Assumptions'!$B$6)</x:f>
        <x:v>0.06380378685937106</x:v>
      </x:c>
      <x:c r="C8" s="39" t="n">
        <x:f>'Returns'!$B$21*(A8/'Assumptions'!$B$10)*(C6/'Assumptions'!$B$6)</x:f>
        <x:v>0.06755695079227524</x:v>
      </x:c>
      <x:c r="D8" s="39" t="n">
        <x:f>'Returns'!$B$21*(A8/'Assumptions'!$B$10)*(D6/'Assumptions'!$B$6)</x:f>
        <x:v>0.07131011472517942</x:v>
      </x:c>
      <x:c r="E8" s="39" t="n">
        <x:f>'Returns'!$B$21*(A8/'Assumptions'!$B$10)*(E6/'Assumptions'!$B$6)</x:f>
        <x:v>0.0750632786580836</x:v>
      </x:c>
      <x:c r="F8" s="39" t="n">
        <x:f>'Returns'!$B$21*(A8/'Assumptions'!$B$10)*(F6/'Assumptions'!$B$6)</x:f>
        <x:v>0.07881644259098779</x:v>
      </x:c>
      <x:c r="G8" s="39" t="n">
        <x:f>'Returns'!$B$21*(A8/'Assumptions'!$B$10)*(G6/'Assumptions'!$B$6)</x:f>
        <x:v>0.08256960652389198</x:v>
      </x:c>
      <x:c r="H8" s="39" t="n">
        <x:f>'Returns'!$B$21*(A8/'Assumptions'!$B$10)*(H6/'Assumptions'!$B$6)</x:f>
        <x:v>0.08632277045679615</x:v>
      </x:c>
      <x:c r="M8" s="40" t="n">
        <x:v>9</x:v>
      </x:c>
      <x:c r="N8" s="40" t="n">
        <x:f>'Returns'!$B$22+(M8-'Assumptions'!$B$10)*2.0%-(N6-'Assumptions'!$B$19)*1.2%</x:f>
        <x:v>0.05599999999999999</x:v>
      </x:c>
      <x:c r="O8" s="40" t="n">
        <x:f>'Returns'!$B$22+(M8-'Assumptions'!$B$10)*2.0%-(O6-'Assumptions'!$B$19)*1.2%</x:f>
        <x:v>0.04999999999999999</x:v>
      </x:c>
      <x:c r="P8" s="40" t="n">
        <x:f>'Returns'!$B$22+(M8-'Assumptions'!$B$10)*2.0%-(P6-'Assumptions'!$B$19)*1.2%</x:f>
        <x:v>0.043999999999999984</x:v>
      </x:c>
      <x:c r="Q8" s="40" t="n">
        <x:f>'Returns'!$B$22+(M8-'Assumptions'!$B$10)*2.0%-(Q6-'Assumptions'!$B$19)*1.2%</x:f>
        <x:v>0.037999999999999985</x:v>
      </x:c>
      <x:c r="R8" s="40" t="n">
        <x:f>'Returns'!$B$22+(M8-'Assumptions'!$B$10)*2.0%-(R6-'Assumptions'!$B$19)*1.2%</x:f>
        <x:v>0.03199999999999999</x:v>
      </x:c>
      <x:c r="S8" s="40" t="n">
        <x:f>'Returns'!$B$22+(M8-'Assumptions'!$B$10)*2.0%-(S6-'Assumptions'!$B$19)*1.2%</x:f>
        <x:v>0.02599999999999999</x:v>
      </x:c>
      <x:c r="T8" s="40" t="n">
        <x:f>'Returns'!$B$22+(M8-'Assumptions'!$B$10)*2.0%-(T6-'Assumptions'!$B$19)*1.2%</x:f>
        <x:v>0.01999999999999999</x:v>
      </x:c>
    </x:row>
    <x:row r="9" ht="15" hidden="0" customHeight="1">
      <x:c r="A9" s="39" t="n">
        <x:v>9.5</x:v>
      </x:c>
      <x:c r="B9" s="39" t="n">
        <x:f>'Returns'!$B$21*(A9/'Assumptions'!$B$10)*(B6/'Assumptions'!$B$6)</x:f>
        <x:v>0.06734844168489168</x:v>
      </x:c>
      <x:c r="C9" s="39" t="n">
        <x:f>'Returns'!$B$21*(A9/'Assumptions'!$B$10)*(C6/'Assumptions'!$B$6)</x:f>
        <x:v>0.07131011472517941</x:v>
      </x:c>
      <x:c r="D9" s="39" t="n">
        <x:f>'Returns'!$B$21*(A9/'Assumptions'!$B$10)*(D6/'Assumptions'!$B$6)</x:f>
        <x:v>0.07527178776546717</x:v>
      </x:c>
      <x:c r="E9" s="39" t="n">
        <x:f>'Returns'!$B$21*(A9/'Assumptions'!$B$10)*(E6/'Assumptions'!$B$6)</x:f>
        <x:v>0.07923346080575491</x:v>
      </x:c>
      <x:c r="F9" s="39" t="n">
        <x:f>'Returns'!$B$21*(A9/'Assumptions'!$B$10)*(F6/'Assumptions'!$B$6)</x:f>
        <x:v>0.08319513384604266</x:v>
      </x:c>
      <x:c r="G9" s="39" t="n">
        <x:f>'Returns'!$B$21*(A9/'Assumptions'!$B$10)*(G6/'Assumptions'!$B$6)</x:f>
        <x:v>0.0871568068863304</x:v>
      </x:c>
      <x:c r="H9" s="39" t="n">
        <x:f>'Returns'!$B$21*(A9/'Assumptions'!$B$10)*(H6/'Assumptions'!$B$6)</x:f>
        <x:v>0.09111847992661816</x:v>
      </x:c>
      <x:c r="M9" s="40" t="n">
        <x:v>9.5</x:v>
      </x:c>
      <x:c r="N9" s="40" t="n">
        <x:f>'Returns'!$B$22+(M9-'Assumptions'!$B$10)*2.0%-(N6-'Assumptions'!$B$19)*1.2%</x:f>
        <x:v>0.066</x:v>
      </x:c>
      <x:c r="O9" s="40" t="n">
        <x:f>'Returns'!$B$22+(M9-'Assumptions'!$B$10)*2.0%-(O6-'Assumptions'!$B$19)*1.2%</x:f>
        <x:v>0.06</x:v>
      </x:c>
      <x:c r="P9" s="40" t="n">
        <x:f>'Returns'!$B$22+(M9-'Assumptions'!$B$10)*2.0%-(P6-'Assumptions'!$B$19)*1.2%</x:f>
        <x:v>0.05399999999999999</x:v>
      </x:c>
      <x:c r="Q9" s="40" t="n">
        <x:f>'Returns'!$B$22+(M9-'Assumptions'!$B$10)*2.0%-(Q6-'Assumptions'!$B$19)*1.2%</x:f>
        <x:v>0.047999999999999994</x:v>
      </x:c>
      <x:c r="R9" s="40" t="n">
        <x:f>'Returns'!$B$22+(M9-'Assumptions'!$B$10)*2.0%-(R6-'Assumptions'!$B$19)*1.2%</x:f>
        <x:v>0.041999999999999996</x:v>
      </x:c>
      <x:c r="S9" s="40" t="n">
        <x:f>'Returns'!$B$22+(M9-'Assumptions'!$B$10)*2.0%-(S6-'Assumptions'!$B$19)*1.2%</x:f>
        <x:v>0.036</x:v>
      </x:c>
      <x:c r="T9" s="40" t="n">
        <x:f>'Returns'!$B$22+(M9-'Assumptions'!$B$10)*2.0%-(T6-'Assumptions'!$B$19)*1.2%</x:f>
        <x:v>0.03</x:v>
      </x:c>
    </x:row>
    <x:row r="10" ht="15" hidden="0" customHeight="1">
      <x:c r="A10" s="39" t="n">
        <x:v>10</x:v>
      </x:c>
      <x:c r="B10" s="39" t="n">
        <x:f>'Returns'!$B$21*(A10/'Assumptions'!$B$10)*(B6/'Assumptions'!$B$6)</x:f>
        <x:v>0.07089309651041228</x:v>
      </x:c>
      <x:c r="C10" s="39" t="n">
        <x:f>'Returns'!$B$21*(A10/'Assumptions'!$B$10)*(C6/'Assumptions'!$B$6)</x:f>
        <x:v>0.07506327865808358</x:v>
      </x:c>
      <x:c r="D10" s="39" t="n">
        <x:f>'Returns'!$B$21*(A10/'Assumptions'!$B$10)*(D6/'Assumptions'!$B$6)</x:f>
        <x:v>0.07923346080575491</x:v>
      </x:c>
      <x:c r="E10" s="39" t="n">
        <x:f>'Returns'!$B$21*(A10/'Assumptions'!$B$10)*(E6/'Assumptions'!$B$6)</x:f>
        <x:v>0.08340364295342621</x:v>
      </x:c>
      <x:c r="F10" s="39" t="n">
        <x:f>'Returns'!$B$21*(A10/'Assumptions'!$B$10)*(F6/'Assumptions'!$B$6)</x:f>
        <x:v>0.08757382510109753</x:v>
      </x:c>
      <x:c r="G10" s="39" t="n">
        <x:f>'Returns'!$B$21*(A10/'Assumptions'!$B$10)*(G6/'Assumptions'!$B$6)</x:f>
        <x:v>0.09174400724876884</x:v>
      </x:c>
      <x:c r="H10" s="39" t="n">
        <x:f>'Returns'!$B$21*(A10/'Assumptions'!$B$10)*(H6/'Assumptions'!$B$6)</x:f>
        <x:v>0.09591418939644016</x:v>
      </x:c>
      <x:c r="M10" s="40" t="n">
        <x:v>10</x:v>
      </x:c>
      <x:c r="N10" s="40" t="n">
        <x:f>'Returns'!$B$22+(M10-'Assumptions'!$B$10)*2.0%-(N6-'Assumptions'!$B$19)*1.2%</x:f>
        <x:v>0.07599999999999998</x:v>
      </x:c>
      <x:c r="O10" s="40" t="n">
        <x:f>'Returns'!$B$22+(M10-'Assumptions'!$B$10)*2.0%-(O6-'Assumptions'!$B$19)*1.2%</x:f>
        <x:v>0.06999999999999999</x:v>
      </x:c>
      <x:c r="P10" s="40" t="n">
        <x:f>'Returns'!$B$22+(M10-'Assumptions'!$B$10)*2.0%-(P6-'Assumptions'!$B$19)*1.2%</x:f>
        <x:v>0.06399999999999999</x:v>
      </x:c>
      <x:c r="Q10" s="40" t="n">
        <x:f>'Returns'!$B$22+(M10-'Assumptions'!$B$10)*2.0%-(Q6-'Assumptions'!$B$19)*1.2%</x:f>
        <x:v>0.05799999999999999</x:v>
      </x:c>
      <x:c r="R10" s="40" t="n">
        <x:f>'Returns'!$B$22+(M10-'Assumptions'!$B$10)*2.0%-(R6-'Assumptions'!$B$19)*1.2%</x:f>
        <x:v>0.05199999999999999</x:v>
      </x:c>
      <x:c r="S10" s="40" t="n">
        <x:f>'Returns'!$B$22+(M10-'Assumptions'!$B$10)*2.0%-(S6-'Assumptions'!$B$19)*1.2%</x:f>
        <x:v>0.04599999999999999</x:v>
      </x:c>
      <x:c r="T10" s="40" t="n">
        <x:f>'Returns'!$B$22+(M10-'Assumptions'!$B$10)*2.0%-(T6-'Assumptions'!$B$19)*1.2%</x:f>
        <x:v>0.039999999999999994</x:v>
      </x:c>
    </x:row>
    <x:row r="11" ht="15" hidden="0" customHeight="1">
      <x:c r="A11" s="39" t="n">
        <x:v>10.5</x:v>
      </x:c>
      <x:c r="B11" s="39" t="n">
        <x:f>'Returns'!$B$21*(A11/'Assumptions'!$B$10)*(B6/'Assumptions'!$B$6)</x:f>
        <x:v>0.0744377513359329</x:v>
      </x:c>
      <x:c r="C11" s="39" t="n">
        <x:f>'Returns'!$B$21*(A11/'Assumptions'!$B$10)*(C6/'Assumptions'!$B$6)</x:f>
        <x:v>0.07881644259098777</x:v>
      </x:c>
      <x:c r="D11" s="39" t="n">
        <x:f>'Returns'!$B$21*(A11/'Assumptions'!$B$10)*(D6/'Assumptions'!$B$6)</x:f>
        <x:v>0.08319513384604266</x:v>
      </x:c>
      <x:c r="E11" s="39" t="n">
        <x:f>'Returns'!$B$21*(A11/'Assumptions'!$B$10)*(E6/'Assumptions'!$B$6)</x:f>
        <x:v>0.08757382510109753</x:v>
      </x:c>
      <x:c r="F11" s="39" t="n">
        <x:f>'Returns'!$B$21*(A11/'Assumptions'!$B$10)*(F6/'Assumptions'!$B$6)</x:f>
        <x:v>0.09195251635615241</x:v>
      </x:c>
      <x:c r="G11" s="39" t="n">
        <x:f>'Returns'!$B$21*(A11/'Assumptions'!$B$10)*(G6/'Assumptions'!$B$6)</x:f>
        <x:v>0.0963312076112073</x:v>
      </x:c>
      <x:c r="H11" s="39" t="n">
        <x:f>'Returns'!$B$21*(A11/'Assumptions'!$B$10)*(H6/'Assumptions'!$B$6)</x:f>
        <x:v>0.10070989886626218</x:v>
      </x:c>
      <x:c r="M11" s="40" t="n">
        <x:v>10.5</x:v>
      </x:c>
      <x:c r="N11" s="40" t="n">
        <x:f>'Returns'!$B$22+(M11-'Assumptions'!$B$10)*2.0%-(N6-'Assumptions'!$B$19)*1.2%</x:f>
        <x:v>0.086</x:v>
      </x:c>
      <x:c r="O11" s="40" t="n">
        <x:f>'Returns'!$B$22+(M11-'Assumptions'!$B$10)*2.0%-(O6-'Assumptions'!$B$19)*1.2%</x:f>
        <x:v>0.08</x:v>
      </x:c>
      <x:c r="P11" s="40" t="n">
        <x:f>'Returns'!$B$22+(M11-'Assumptions'!$B$10)*2.0%-(P6-'Assumptions'!$B$19)*1.2%</x:f>
        <x:v>0.074</x:v>
      </x:c>
      <x:c r="Q11" s="40" t="n">
        <x:f>'Returns'!$B$22+(M11-'Assumptions'!$B$10)*2.0%-(Q6-'Assumptions'!$B$19)*1.2%</x:f>
        <x:v>0.068</x:v>
      </x:c>
      <x:c r="R11" s="40" t="n">
        <x:f>'Returns'!$B$22+(M11-'Assumptions'!$B$10)*2.0%-(R6-'Assumptions'!$B$19)*1.2%</x:f>
        <x:v>0.062</x:v>
      </x:c>
      <x:c r="S11" s="40" t="n">
        <x:f>'Returns'!$B$22+(M11-'Assumptions'!$B$10)*2.0%-(S6-'Assumptions'!$B$19)*1.2%</x:f>
        <x:v>0.056</x:v>
      </x:c>
      <x:c r="T11" s="40" t="n">
        <x:f>'Returns'!$B$22+(M11-'Assumptions'!$B$10)*2.0%-(T6-'Assumptions'!$B$19)*1.2%</x:f>
        <x:v>0.05</x:v>
      </x:c>
    </x:row>
    <x:row r="12" ht="15" hidden="0" customHeight="1">
      <x:c r="A12" s="39" t="n">
        <x:v>11</x:v>
      </x:c>
      <x:c r="B12" s="39" t="n">
        <x:f>'Returns'!$B$21*(A12/'Assumptions'!$B$10)*(B6/'Assumptions'!$B$6)</x:f>
        <x:v>0.07798240616145352</x:v>
      </x:c>
      <x:c r="C12" s="39" t="n">
        <x:f>'Returns'!$B$21*(A12/'Assumptions'!$B$10)*(C6/'Assumptions'!$B$6)</x:f>
        <x:v>0.08256960652389195</x:v>
      </x:c>
      <x:c r="D12" s="39" t="n">
        <x:f>'Returns'!$B$21*(A12/'Assumptions'!$B$10)*(D6/'Assumptions'!$B$6)</x:f>
        <x:v>0.0871568068863304</x:v>
      </x:c>
      <x:c r="E12" s="39" t="n">
        <x:f>'Returns'!$B$21*(A12/'Assumptions'!$B$10)*(E6/'Assumptions'!$B$6)</x:f>
        <x:v>0.09174400724876883</x:v>
      </x:c>
      <x:c r="F12" s="39" t="n">
        <x:f>'Returns'!$B$21*(A12/'Assumptions'!$B$10)*(F6/'Assumptions'!$B$6)</x:f>
        <x:v>0.09633120761120728</x:v>
      </x:c>
      <x:c r="G12" s="39" t="n">
        <x:f>'Returns'!$B$21*(A12/'Assumptions'!$B$10)*(G6/'Assumptions'!$B$6)</x:f>
        <x:v>0.10091840797364574</x:v>
      </x:c>
      <x:c r="H12" s="39" t="n">
        <x:f>'Returns'!$B$21*(A12/'Assumptions'!$B$10)*(H6/'Assumptions'!$B$6)</x:f>
        <x:v>0.10550560833608418</x:v>
      </x:c>
      <x:c r="M12" s="40" t="n">
        <x:v>11</x:v>
      </x:c>
      <x:c r="N12" s="40" t="n">
        <x:f>'Returns'!$B$22+(M12-'Assumptions'!$B$10)*2.0%-(N6-'Assumptions'!$B$19)*1.2%</x:f>
        <x:v>0.096</x:v>
      </x:c>
      <x:c r="O12" s="40" t="n">
        <x:f>'Returns'!$B$22+(M12-'Assumptions'!$B$10)*2.0%-(O6-'Assumptions'!$B$19)*1.2%</x:f>
        <x:v>0.09</x:v>
      </x:c>
      <x:c r="P12" s="40" t="n">
        <x:f>'Returns'!$B$22+(M12-'Assumptions'!$B$10)*2.0%-(P6-'Assumptions'!$B$19)*1.2%</x:f>
        <x:v>0.08399999999999999</x:v>
      </x:c>
      <x:c r="Q12" s="40" t="n">
        <x:f>'Returns'!$B$22+(M12-'Assumptions'!$B$10)*2.0%-(Q6-'Assumptions'!$B$19)*1.2%</x:f>
        <x:v>0.07799999999999999</x:v>
      </x:c>
      <x:c r="R12" s="40" t="n">
        <x:f>'Returns'!$B$22+(M12-'Assumptions'!$B$10)*2.0%-(R6-'Assumptions'!$B$19)*1.2%</x:f>
        <x:v>0.072</x:v>
      </x:c>
      <x:c r="S12" s="40" t="n">
        <x:f>'Returns'!$B$22+(M12-'Assumptions'!$B$10)*2.0%-(S6-'Assumptions'!$B$19)*1.2%</x:f>
        <x:v>0.066</x:v>
      </x:c>
      <x:c r="T12" s="40" t="n">
        <x:f>'Returns'!$B$22+(M12-'Assumptions'!$B$10)*2.0%-(T6-'Assumptions'!$B$19)*1.2%</x:f>
        <x:v>0.06</x:v>
      </x:c>
    </x:row>
    <x:row r="13" ht="15" hidden="0" customHeight="1">
      <x:c r="A13" s="39" t="n">
        <x:v>11.5</x:v>
      </x:c>
      <x:c r="B13" s="39" t="n">
        <x:f>'Returns'!$B$21*(A13/'Assumptions'!$B$10)*(B6/'Assumptions'!$B$6)</x:f>
        <x:v>0.08152706098697413</x:v>
      </x:c>
      <x:c r="C13" s="39" t="n">
        <x:f>'Returns'!$B$21*(A13/'Assumptions'!$B$10)*(C6/'Assumptions'!$B$6)</x:f>
        <x:v>0.08632277045679612</x:v>
      </x:c>
      <x:c r="D13" s="39" t="n">
        <x:f>'Returns'!$B$21*(A13/'Assumptions'!$B$10)*(D6/'Assumptions'!$B$6)</x:f>
        <x:v>0.09111847992661813</x:v>
      </x:c>
      <x:c r="E13" s="39" t="n">
        <x:f>'Returns'!$B$21*(A13/'Assumptions'!$B$10)*(E6/'Assumptions'!$B$6)</x:f>
        <x:v>0.09591418939644014</x:v>
      </x:c>
      <x:c r="F13" s="39" t="n">
        <x:f>'Returns'!$B$21*(A13/'Assumptions'!$B$10)*(F6/'Assumptions'!$B$6)</x:f>
        <x:v>0.10070989886626215</x:v>
      </x:c>
      <x:c r="G13" s="39" t="n">
        <x:f>'Returns'!$B$21*(A13/'Assumptions'!$B$10)*(G6/'Assumptions'!$B$6)</x:f>
        <x:v>0.10550560833608416</x:v>
      </x:c>
      <x:c r="H13" s="39" t="n">
        <x:f>'Returns'!$B$21*(A13/'Assumptions'!$B$10)*(H6/'Assumptions'!$B$6)</x:f>
        <x:v>0.11030131780590617</x:v>
      </x:c>
      <x:c r="M13" s="40" t="n">
        <x:v>11.5</x:v>
      </x:c>
      <x:c r="N13" s="40" t="n">
        <x:f>'Returns'!$B$22+(M13-'Assumptions'!$B$10)*2.0%-(N6-'Assumptions'!$B$19)*1.2%</x:f>
        <x:v>0.10600000000000001</x:v>
      </x:c>
      <x:c r="O13" s="40" t="n">
        <x:f>'Returns'!$B$22+(M13-'Assumptions'!$B$10)*2.0%-(O6-'Assumptions'!$B$19)*1.2%</x:f>
        <x:v>0.1</x:v>
      </x:c>
      <x:c r="P13" s="40" t="n">
        <x:f>'Returns'!$B$22+(M13-'Assumptions'!$B$10)*2.0%-(P6-'Assumptions'!$B$19)*1.2%</x:f>
        <x:v>0.094</x:v>
      </x:c>
      <x:c r="Q13" s="40" t="n">
        <x:f>'Returns'!$B$22+(M13-'Assumptions'!$B$10)*2.0%-(Q6-'Assumptions'!$B$19)*1.2%</x:f>
        <x:v>0.088</x:v>
      </x:c>
      <x:c r="R13" s="40" t="n">
        <x:f>'Returns'!$B$22+(M13-'Assumptions'!$B$10)*2.0%-(R6-'Assumptions'!$B$19)*1.2%</x:f>
        <x:v>0.082</x:v>
      </x:c>
      <x:c r="S13" s="40" t="n">
        <x:f>'Returns'!$B$22+(M13-'Assumptions'!$B$10)*2.0%-(S6-'Assumptions'!$B$19)*1.2%</x:f>
        <x:v>0.07600000000000001</x:v>
      </x:c>
      <x:c r="T13" s="40" t="n">
        <x:f>'Returns'!$B$22+(M13-'Assumptions'!$B$10)*2.0%-(T6-'Assumptions'!$B$19)*1.2%</x:f>
        <x:v>0.07</x:v>
      </x:c>
    </x:row>
    <x:row r="14"/>
    <x:row r="15"/>
    <x:row r="16"/>
    <x:row r="17"/>
    <x:row r="18"/>
    <x:row r="19"/>
    <x:row r="20"/>
    <x:row r="21"/>
    <x:row r="22" ht="15" hidden="0" customHeight="1">
      <x:c r="A22" s="15" t="str">
        <x:v>3. Revenue CAGR x EBITDA Margin</x:v>
      </x:c>
      <x:c r="B22" s="15"/>
      <x:c r="C22" s="15"/>
      <x:c r="D22" s="15"/>
      <x:c r="E22" s="15"/>
      <x:c r="F22" s="15"/>
      <x:c r="G22" s="15"/>
      <x:c r="H22" s="15"/>
      <x:c r="I22" s="15"/>
      <x:c r="M22" s="15" t="str">
        <x:v>4. Tax Rate x Capex % Revenue</x:v>
      </x:c>
      <x:c r="N22" s="15"/>
      <x:c r="O22" s="15"/>
      <x:c r="P22" s="15"/>
      <x:c r="Q22" s="15"/>
      <x:c r="R22" s="15"/>
      <x:c r="S22" s="15"/>
      <x:c r="T22" s="15"/>
      <x:c r="U22" s="15"/>
    </x:row>
    <x:row r="23" ht="15" hidden="0" customHeight="1">
      <x:c r="A23" s="39" t="str">
        <x:v>MOIC</x:v>
      </x:c>
      <x:c r="B23" s="39" t="n">
        <x:v>0.24</x:v>
      </x:c>
      <x:c r="C23" s="39" t="n">
        <x:v>0.26</x:v>
      </x:c>
      <x:c r="D23" s="39" t="n">
        <x:v>0.27999999999999997</x:v>
      </x:c>
      <x:c r="E23" s="39" t="n">
        <x:v>0.3</x:v>
      </x:c>
      <x:c r="F23" s="39" t="n">
        <x:v>0.32</x:v>
      </x:c>
      <x:c r="G23" s="39" t="n">
        <x:v>0.33999999999999997</x:v>
      </x:c>
      <x:c r="H23" s="39" t="n">
        <x:v>0.36</x:v>
      </x:c>
      <x:c r="M23" s="40" t="str">
        <x:v>IRR</x:v>
      </x:c>
      <x:c r="N23" s="40" t="n">
        <x:v>0.025</x:v>
      </x:c>
      <x:c r="O23" s="40" t="n">
        <x:v>0.030000000000000002</x:v>
      </x:c>
      <x:c r="P23" s="40" t="n">
        <x:v>0.035</x:v>
      </x:c>
      <x:c r="Q23" s="40" t="n">
        <x:v>0.04</x:v>
      </x:c>
      <x:c r="R23" s="40" t="n">
        <x:v>0.045</x:v>
      </x:c>
      <x:c r="S23" s="40" t="n">
        <x:v>0.05</x:v>
      </x:c>
      <x:c r="T23" s="40" t="n">
        <x:v>0.055</x:v>
      </x:c>
    </x:row>
    <x:row r="24" ht="15" hidden="0" customHeight="1">
      <x:c r="A24" s="39" t="n">
        <x:v>0.02</x:v>
      </x:c>
      <x:c r="B24" s="39" t="n">
        <x:f>'Returns'!$B$21*(1+(A24-'Assumptions'!$B$11)*3+(B23-'Assumptions'!$B$12)*4)</x:f>
        <x:v>0.17146954954794894</x:v>
      </x:c>
      <x:c r="C24" s="39" t="n">
        <x:f>'Returns'!$B$21*(1+(A24-'Assumptions'!$B$11)*3+(C23-'Assumptions'!$B$12)*4)</x:f>
        <x:v>0.17917604615684554</x:v>
      </x:c>
      <x:c r="D24" s="39" t="n">
        <x:f>'Returns'!$B$21*(1+(A24-'Assumptions'!$B$11)*3+(D23-'Assumptions'!$B$12)*4)</x:f>
        <x:v>0.18688254276574212</x:v>
      </x:c>
      <x:c r="E24" s="39" t="n">
        <x:f>'Returns'!$B$21*(1+(A24-'Assumptions'!$B$11)*3+(E23-'Assumptions'!$B$12)*4)</x:f>
        <x:v>0.1945890393746387</x:v>
      </x:c>
      <x:c r="F24" s="39" t="n">
        <x:f>'Returns'!$B$21*(1+(A24-'Assumptions'!$B$11)*3+(F23-'Assumptions'!$B$12)*4)</x:f>
        <x:v>0.2022955359835353</x:v>
      </x:c>
      <x:c r="G24" s="39" t="n">
        <x:f>'Returns'!$B$21*(1+(A24-'Assumptions'!$B$11)*3+(G23-'Assumptions'!$B$12)*4)</x:f>
        <x:v>0.21000203259243186</x:v>
      </x:c>
      <x:c r="H24" s="39" t="n">
        <x:f>'Returns'!$B$21*(1+(A24-'Assumptions'!$B$11)*3+(H23-'Assumptions'!$B$12)*4)</x:f>
        <x:v>0.21770852920132844</x:v>
      </x:c>
      <x:c r="M24" s="40" t="n">
        <x:v>0.18</x:v>
      </x:c>
      <x:c r="N24" s="40" t="n">
        <x:f>'Returns'!$B$22-(M24-'Assumptions'!$B$16)*0.4-(N23-'Assumptions'!$B$14)*0.8</x:f>
        <x:v>0.16399999999999998</x:v>
      </x:c>
      <x:c r="O24" s="40" t="n">
        <x:f>'Returns'!$B$22-(M24-'Assumptions'!$B$16)*0.4-(O23-'Assumptions'!$B$14)*0.8</x:f>
        <x:v>0.15999999999999998</x:v>
      </x:c>
      <x:c r="P24" s="40" t="n">
        <x:f>'Returns'!$B$22-(M24-'Assumptions'!$B$16)*0.4-(P23-'Assumptions'!$B$14)*0.8</x:f>
        <x:v>0.156</x:v>
      </x:c>
      <x:c r="Q24" s="40" t="n">
        <x:f>'Returns'!$B$22-(M24-'Assumptions'!$B$16)*0.4-(Q23-'Assumptions'!$B$14)*0.8</x:f>
        <x:v>0.152</x:v>
      </x:c>
      <x:c r="R24" s="40" t="n">
        <x:f>'Returns'!$B$22-(M24-'Assumptions'!$B$16)*0.4-(R23-'Assumptions'!$B$14)*0.8</x:f>
        <x:v>0.148</x:v>
      </x:c>
      <x:c r="S24" s="40" t="n">
        <x:f>'Returns'!$B$22-(M24-'Assumptions'!$B$16)*0.4-(S23-'Assumptions'!$B$14)*0.8</x:f>
        <x:v>0.144</x:v>
      </x:c>
      <x:c r="T24" s="40" t="n">
        <x:f>'Returns'!$B$22-(M24-'Assumptions'!$B$16)*0.4-(T23-'Assumptions'!$B$14)*0.8</x:f>
        <x:v>0.13999999999999999</x:v>
      </x:c>
    </x:row>
    <x:row r="25" ht="15" hidden="0" customHeight="1">
      <x:c r="A25" s="39" t="n">
        <x:v>0.03</x:v>
      </x:c>
      <x:c r="B25" s="39" t="n">
        <x:f>'Returns'!$B$21*(1+(A25-'Assumptions'!$B$11)*3+(B23-'Assumptions'!$B$12)*4)</x:f>
        <x:v>0.17435948577628518</x:v>
      </x:c>
      <x:c r="C25" s="39" t="n">
        <x:f>'Returns'!$B$21*(1+(A25-'Assumptions'!$B$11)*3+(C23-'Assumptions'!$B$12)*4)</x:f>
        <x:v>0.18206598238518176</x:v>
      </x:c>
      <x:c r="D25" s="39" t="n">
        <x:f>'Returns'!$B$21*(1+(A25-'Assumptions'!$B$11)*3+(D23-'Assumptions'!$B$12)*4)</x:f>
        <x:v>0.18977247899407831</x:v>
      </x:c>
      <x:c r="E25" s="39" t="n">
        <x:f>'Returns'!$B$21*(1+(A25-'Assumptions'!$B$11)*3+(E23-'Assumptions'!$B$12)*4)</x:f>
        <x:v>0.19747897560297492</x:v>
      </x:c>
      <x:c r="F25" s="39" t="n">
        <x:f>'Returns'!$B$21*(1+(A25-'Assumptions'!$B$11)*3+(F23-'Assumptions'!$B$12)*4)</x:f>
        <x:v>0.2051854722118715</x:v>
      </x:c>
      <x:c r="G25" s="39" t="n">
        <x:f>'Returns'!$B$21*(1+(A25-'Assumptions'!$B$11)*3+(G23-'Assumptions'!$B$12)*4)</x:f>
        <x:v>0.21289196882076808</x:v>
      </x:c>
      <x:c r="H25" s="39" t="n">
        <x:f>'Returns'!$B$21*(1+(A25-'Assumptions'!$B$11)*3+(H23-'Assumptions'!$B$12)*4)</x:f>
        <x:v>0.2205984654296647</x:v>
      </x:c>
      <x:c r="M25" s="40" t="n">
        <x:v>0.19999999999999998</x:v>
      </x:c>
      <x:c r="N25" s="40" t="n">
        <x:f>'Returns'!$B$22-(M25-'Assumptions'!$B$16)*0.4-(N23-'Assumptions'!$B$14)*0.8</x:f>
        <x:v>0.156</x:v>
      </x:c>
      <x:c r="O25" s="40" t="n">
        <x:f>'Returns'!$B$22-(M25-'Assumptions'!$B$16)*0.4-(O23-'Assumptions'!$B$14)*0.8</x:f>
        <x:v>0.15200000000000002</x:v>
      </x:c>
      <x:c r="P25" s="40" t="n">
        <x:f>'Returns'!$B$22-(M25-'Assumptions'!$B$16)*0.4-(P23-'Assumptions'!$B$14)*0.8</x:f>
        <x:v>0.14800000000000002</x:v>
      </x:c>
      <x:c r="Q25" s="40" t="n">
        <x:f>'Returns'!$B$22-(M25-'Assumptions'!$B$16)*0.4-(Q23-'Assumptions'!$B$14)*0.8</x:f>
        <x:v>0.14400000000000002</x:v>
      </x:c>
      <x:c r="R25" s="40" t="n">
        <x:f>'Returns'!$B$22-(M25-'Assumptions'!$B$16)*0.4-(R23-'Assumptions'!$B$14)*0.8</x:f>
        <x:v>0.14</x:v>
      </x:c>
      <x:c r="S25" s="40" t="n">
        <x:f>'Returns'!$B$22-(M25-'Assumptions'!$B$16)*0.4-(S23-'Assumptions'!$B$14)*0.8</x:f>
        <x:v>0.136</x:v>
      </x:c>
      <x:c r="T25" s="40" t="n">
        <x:f>'Returns'!$B$22-(M25-'Assumptions'!$B$16)*0.4-(T23-'Assumptions'!$B$14)*0.8</x:f>
        <x:v>0.132</x:v>
      </x:c>
    </x:row>
    <x:row r="26" ht="15" hidden="0" customHeight="1">
      <x:c r="A26" s="39" t="n">
        <x:v>0.04</x:v>
      </x:c>
      <x:c r="B26" s="39" t="n">
        <x:f>'Returns'!$B$21*(1+(A26-'Assumptions'!$B$11)*3+(B23-'Assumptions'!$B$12)*4)</x:f>
        <x:v>0.17724942200462138</x:v>
      </x:c>
      <x:c r="C26" s="39" t="n">
        <x:f>'Returns'!$B$21*(1+(A26-'Assumptions'!$B$11)*3+(C23-'Assumptions'!$B$12)*4)</x:f>
        <x:v>0.18495591861351798</x:v>
      </x:c>
      <x:c r="D26" s="39" t="n">
        <x:f>'Returns'!$B$21*(1+(A26-'Assumptions'!$B$11)*3+(D23-'Assumptions'!$B$12)*4)</x:f>
        <x:v>0.19266241522241456</x:v>
      </x:c>
      <x:c r="E26" s="39" t="n">
        <x:f>'Returns'!$B$21*(1+(A26-'Assumptions'!$B$11)*3+(E23-'Assumptions'!$B$12)*4)</x:f>
        <x:v>0.20036891183131114</x:v>
      </x:c>
      <x:c r="F26" s="39" t="n">
        <x:f>'Returns'!$B$21*(1+(A26-'Assumptions'!$B$11)*3+(F23-'Assumptions'!$B$12)*4)</x:f>
        <x:v>0.20807540844020775</x:v>
      </x:c>
      <x:c r="G26" s="39" t="n">
        <x:f>'Returns'!$B$21*(1+(A26-'Assumptions'!$B$11)*3+(G23-'Assumptions'!$B$12)*4)</x:f>
        <x:v>0.2157819050491043</x:v>
      </x:c>
      <x:c r="H26" s="39" t="n">
        <x:f>'Returns'!$B$21*(1+(A26-'Assumptions'!$B$11)*3+(H23-'Assumptions'!$B$12)*4)</x:f>
        <x:v>0.22348840165800088</x:v>
      </x:c>
      <x:c r="M26" s="40" t="n">
        <x:v>0.22</x:v>
      </x:c>
      <x:c r="N26" s="40" t="n">
        <x:f>'Returns'!$B$22-(M26-'Assumptions'!$B$16)*0.4-(N23-'Assumptions'!$B$14)*0.8</x:f>
        <x:v>0.148</x:v>
      </x:c>
      <x:c r="O26" s="40" t="n">
        <x:f>'Returns'!$B$22-(M26-'Assumptions'!$B$16)*0.4-(O23-'Assumptions'!$B$14)*0.8</x:f>
        <x:v>0.14400000000000002</x:v>
      </x:c>
      <x:c r="P26" s="40" t="n">
        <x:f>'Returns'!$B$22-(M26-'Assumptions'!$B$16)*0.4-(P23-'Assumptions'!$B$14)*0.8</x:f>
        <x:v>0.14</x:v>
      </x:c>
      <x:c r="Q26" s="40" t="n">
        <x:f>'Returns'!$B$22-(M26-'Assumptions'!$B$16)*0.4-(Q23-'Assumptions'!$B$14)*0.8</x:f>
        <x:v>0.136</x:v>
      </x:c>
      <x:c r="R26" s="40" t="n">
        <x:f>'Returns'!$B$22-(M26-'Assumptions'!$B$16)*0.4-(R23-'Assumptions'!$B$14)*0.8</x:f>
        <x:v>0.132</x:v>
      </x:c>
      <x:c r="S26" s="40" t="n">
        <x:f>'Returns'!$B$22-(M26-'Assumptions'!$B$16)*0.4-(S23-'Assumptions'!$B$14)*0.8</x:f>
        <x:v>0.128</x:v>
      </x:c>
      <x:c r="T26" s="40" t="n">
        <x:f>'Returns'!$B$22-(M26-'Assumptions'!$B$16)*0.4-(T23-'Assumptions'!$B$14)*0.8</x:f>
        <x:v>0.124</x:v>
      </x:c>
    </x:row>
    <x:row r="27" ht="15" hidden="0" customHeight="1">
      <x:c r="A27" s="39" t="n">
        <x:v>0.05</x:v>
      </x:c>
      <x:c r="B27" s="39" t="n">
        <x:f>'Returns'!$B$21*(1+(A27-'Assumptions'!$B$11)*3+(B23-'Assumptions'!$B$12)*4)</x:f>
        <x:v>0.1801393582329576</x:v>
      </x:c>
      <x:c r="C27" s="39" t="n">
        <x:f>'Returns'!$B$21*(1+(A27-'Assumptions'!$B$11)*3+(C23-'Assumptions'!$B$12)*4)</x:f>
        <x:v>0.1878458548418542</x:v>
      </x:c>
      <x:c r="D27" s="39" t="n">
        <x:f>'Returns'!$B$21*(1+(A27-'Assumptions'!$B$11)*3+(D23-'Assumptions'!$B$12)*4)</x:f>
        <x:v>0.19555235145075076</x:v>
      </x:c>
      <x:c r="E27" s="39" t="n">
        <x:f>'Returns'!$B$21*(1+(A27-'Assumptions'!$B$11)*3+(E23-'Assumptions'!$B$12)*4)</x:f>
        <x:v>0.20325884805964736</x:v>
      </x:c>
      <x:c r="F27" s="39" t="n">
        <x:f>'Returns'!$B$21*(1+(A27-'Assumptions'!$B$11)*3+(F23-'Assumptions'!$B$12)*4)</x:f>
        <x:v>0.21096534466854394</x:v>
      </x:c>
      <x:c r="G27" s="39" t="n">
        <x:f>'Returns'!$B$21*(1+(A27-'Assumptions'!$B$11)*3+(G23-'Assumptions'!$B$12)*4)</x:f>
        <x:v>0.2186718412774405</x:v>
      </x:c>
      <x:c r="H27" s="39" t="n">
        <x:f>'Returns'!$B$21*(1+(A27-'Assumptions'!$B$11)*3+(H23-'Assumptions'!$B$12)*4)</x:f>
        <x:v>0.22637833788633707</x:v>
      </x:c>
      <x:c r="M27" s="40" t="n">
        <x:v>0.24</x:v>
      </x:c>
      <x:c r="N27" s="40" t="n">
        <x:f>'Returns'!$B$22-(M27-'Assumptions'!$B$16)*0.4-(N23-'Assumptions'!$B$14)*0.8</x:f>
        <x:v>0.13999999999999999</x:v>
      </x:c>
      <x:c r="O27" s="40" t="n">
        <x:f>'Returns'!$B$22-(M27-'Assumptions'!$B$16)*0.4-(O23-'Assumptions'!$B$14)*0.8</x:f>
        <x:v>0.136</x:v>
      </x:c>
      <x:c r="P27" s="40" t="n">
        <x:f>'Returns'!$B$22-(M27-'Assumptions'!$B$16)*0.4-(P23-'Assumptions'!$B$14)*0.8</x:f>
        <x:v>0.132</x:v>
      </x:c>
      <x:c r="Q27" s="40" t="n">
        <x:f>'Returns'!$B$22-(M27-'Assumptions'!$B$16)*0.4-(Q23-'Assumptions'!$B$14)*0.8</x:f>
        <x:v>0.128</x:v>
      </x:c>
      <x:c r="R27" s="40" t="n">
        <x:f>'Returns'!$B$22-(M27-'Assumptions'!$B$16)*0.4-(R23-'Assumptions'!$B$14)*0.8</x:f>
        <x:v>0.124</x:v>
      </x:c>
      <x:c r="S27" s="40" t="n">
        <x:f>'Returns'!$B$22-(M27-'Assumptions'!$B$16)*0.4-(S23-'Assumptions'!$B$14)*0.8</x:f>
        <x:v>0.12</x:v>
      </x:c>
      <x:c r="T27" s="40" t="n">
        <x:f>'Returns'!$B$22-(M27-'Assumptions'!$B$16)*0.4-(T23-'Assumptions'!$B$14)*0.8</x:f>
        <x:v>0.11599999999999999</x:v>
      </x:c>
    </x:row>
    <x:row r="28" ht="15" hidden="0" customHeight="1">
      <x:c r="A28" s="39" t="n">
        <x:v>0.06</x:v>
      </x:c>
      <x:c r="B28" s="39" t="n">
        <x:f>'Returns'!$B$21*(1+(A28-'Assumptions'!$B$11)*3+(B23-'Assumptions'!$B$12)*4)</x:f>
        <x:v>0.18302929446129382</x:v>
      </x:c>
      <x:c r="C28" s="39" t="n">
        <x:f>'Returns'!$B$21*(1+(A28-'Assumptions'!$B$11)*3+(C23-'Assumptions'!$B$12)*4)</x:f>
        <x:v>0.19073579107019042</x:v>
      </x:c>
      <x:c r="D28" s="39" t="n">
        <x:f>'Returns'!$B$21*(1+(A28-'Assumptions'!$B$11)*3+(D23-'Assumptions'!$B$12)*4)</x:f>
        <x:v>0.19844228767908695</x:v>
      </x:c>
      <x:c r="E28" s="39" t="n">
        <x:f>'Returns'!$B$21*(1+(A28-'Assumptions'!$B$11)*3+(E23-'Assumptions'!$B$12)*4)</x:f>
        <x:v>0.20614878428798356</x:v>
      </x:c>
      <x:c r="F28" s="39" t="n">
        <x:f>'Returns'!$B$21*(1+(A28-'Assumptions'!$B$11)*3+(F23-'Assumptions'!$B$12)*4)</x:f>
        <x:v>0.21385528089688013</x:v>
      </x:c>
      <x:c r="G28" s="39" t="n">
        <x:f>'Returns'!$B$21*(1+(A28-'Assumptions'!$B$11)*3+(G23-'Assumptions'!$B$12)*4)</x:f>
        <x:v>0.22156177750577674</x:v>
      </x:c>
      <x:c r="H28" s="39" t="n">
        <x:f>'Returns'!$B$21*(1+(A28-'Assumptions'!$B$11)*3+(H23-'Assumptions'!$B$12)*4)</x:f>
        <x:v>0.22926827411467332</x:v>
      </x:c>
      <x:c r="M28" s="40" t="n">
        <x:v>0.26</x:v>
      </x:c>
      <x:c r="N28" s="40" t="n">
        <x:f>'Returns'!$B$22-(M28-'Assumptions'!$B$16)*0.4-(N23-'Assumptions'!$B$14)*0.8</x:f>
        <x:v>0.13199999999999998</x:v>
      </x:c>
      <x:c r="O28" s="40" t="n">
        <x:f>'Returns'!$B$22-(M28-'Assumptions'!$B$16)*0.4-(O23-'Assumptions'!$B$14)*0.8</x:f>
        <x:v>0.128</x:v>
      </x:c>
      <x:c r="P28" s="40" t="n">
        <x:f>'Returns'!$B$22-(M28-'Assumptions'!$B$16)*0.4-(P23-'Assumptions'!$B$14)*0.8</x:f>
        <x:v>0.12399999999999999</x:v>
      </x:c>
      <x:c r="Q28" s="40" t="n">
        <x:f>'Returns'!$B$22-(M28-'Assumptions'!$B$16)*0.4-(Q23-'Assumptions'!$B$14)*0.8</x:f>
        <x:v>0.12</x:v>
      </x:c>
      <x:c r="R28" s="40" t="n">
        <x:f>'Returns'!$B$22-(M28-'Assumptions'!$B$16)*0.4-(R23-'Assumptions'!$B$14)*0.8</x:f>
        <x:v>0.11599999999999999</x:v>
      </x:c>
      <x:c r="S28" s="40" t="n">
        <x:f>'Returns'!$B$22-(M28-'Assumptions'!$B$16)*0.4-(S23-'Assumptions'!$B$14)*0.8</x:f>
        <x:v>0.11199999999999999</x:v>
      </x:c>
      <x:c r="T28" s="40" t="n">
        <x:f>'Returns'!$B$22-(M28-'Assumptions'!$B$16)*0.4-(T23-'Assumptions'!$B$14)*0.8</x:f>
        <x:v>0.10799999999999998</x:v>
      </x:c>
    </x:row>
    <x:row r="29" ht="15" hidden="0" customHeight="1">
      <x:c r="A29" s="39" t="n">
        <x:v>0.07</x:v>
      </x:c>
      <x:c r="B29" s="39" t="n">
        <x:f>'Returns'!$B$21*(1+(A29-'Assumptions'!$B$11)*3+(B23-'Assumptions'!$B$12)*4)</x:f>
        <x:v>0.18591923068963004</x:v>
      </x:c>
      <x:c r="C29" s="39" t="n">
        <x:f>'Returns'!$B$21*(1+(A29-'Assumptions'!$B$11)*3+(C23-'Assumptions'!$B$12)*4)</x:f>
        <x:v>0.19362572729852662</x:v>
      </x:c>
      <x:c r="D29" s="39" t="n">
        <x:f>'Returns'!$B$21*(1+(A29-'Assumptions'!$B$11)*3+(D23-'Assumptions'!$B$12)*4)</x:f>
        <x:v>0.2013322239074232</x:v>
      </x:c>
      <x:c r="E29" s="39" t="n">
        <x:f>'Returns'!$B$21*(1+(A29-'Assumptions'!$B$11)*3+(E23-'Assumptions'!$B$12)*4)</x:f>
        <x:v>0.2090387205163198</x:v>
      </x:c>
      <x:c r="F29" s="39" t="n">
        <x:f>'Returns'!$B$21*(1+(A29-'Assumptions'!$B$11)*3+(F23-'Assumptions'!$B$12)*4)</x:f>
        <x:v>0.21674521712521638</x:v>
      </x:c>
      <x:c r="G29" s="39" t="n">
        <x:f>'Returns'!$B$21*(1+(A29-'Assumptions'!$B$11)*3+(G23-'Assumptions'!$B$12)*4)</x:f>
        <x:v>0.22445171373411296</x:v>
      </x:c>
      <x:c r="H29" s="39" t="n">
        <x:f>'Returns'!$B$21*(1+(A29-'Assumptions'!$B$11)*3+(H23-'Assumptions'!$B$12)*4)</x:f>
        <x:v>0.23215821034300957</x:v>
      </x:c>
      <x:c r="M29" s="40" t="n">
        <x:v>0.28</x:v>
      </x:c>
      <x:c r="N29" s="40" t="n">
        <x:f>'Returns'!$B$22-(M29-'Assumptions'!$B$16)*0.4-(N23-'Assumptions'!$B$14)*0.8</x:f>
        <x:v>0.12399999999999999</x:v>
      </x:c>
      <x:c r="O29" s="40" t="n">
        <x:f>'Returns'!$B$22-(M29-'Assumptions'!$B$16)*0.4-(O23-'Assumptions'!$B$14)*0.8</x:f>
        <x:v>0.11999999999999998</x:v>
      </x:c>
      <x:c r="P29" s="40" t="n">
        <x:f>'Returns'!$B$22-(M29-'Assumptions'!$B$16)*0.4-(P23-'Assumptions'!$B$14)*0.8</x:f>
        <x:v>0.11599999999999998</x:v>
      </x:c>
      <x:c r="Q29" s="40" t="n">
        <x:f>'Returns'!$B$22-(M29-'Assumptions'!$B$16)*0.4-(Q23-'Assumptions'!$B$14)*0.8</x:f>
        <x:v>0.11199999999999999</x:v>
      </x:c>
      <x:c r="R29" s="40" t="n">
        <x:f>'Returns'!$B$22-(M29-'Assumptions'!$B$16)*0.4-(R23-'Assumptions'!$B$14)*0.8</x:f>
        <x:v>0.10799999999999998</x:v>
      </x:c>
      <x:c r="S29" s="40" t="n">
        <x:f>'Returns'!$B$22-(M29-'Assumptions'!$B$16)*0.4-(S23-'Assumptions'!$B$14)*0.8</x:f>
        <x:v>0.10399999999999998</x:v>
      </x:c>
      <x:c r="T29" s="40" t="n">
        <x:f>'Returns'!$B$22-(M29-'Assumptions'!$B$16)*0.4-(T23-'Assumptions'!$B$14)*0.8</x:f>
        <x:v>0.09999999999999998</x:v>
      </x:c>
    </x:row>
    <x:row r="30" ht="15" hidden="0" customHeight="1">
      <x:c r="A30" s="39" t="n">
        <x:v>0.08</x:v>
      </x:c>
      <x:c r="B30" s="39" t="n">
        <x:f>'Returns'!$B$21*(1+(A30-'Assumptions'!$B$11)*3+(B23-'Assumptions'!$B$12)*4)</x:f>
        <x:v>0.18880916691796626</x:v>
      </x:c>
      <x:c r="C30" s="39" t="n">
        <x:f>'Returns'!$B$21*(1+(A30-'Assumptions'!$B$11)*3+(C23-'Assumptions'!$B$12)*4)</x:f>
        <x:v>0.19651566352686287</x:v>
      </x:c>
      <x:c r="D30" s="39" t="n">
        <x:f>'Returns'!$B$21*(1+(A30-'Assumptions'!$B$11)*3+(D23-'Assumptions'!$B$12)*4)</x:f>
        <x:v>0.20422216013575945</x:v>
      </x:c>
      <x:c r="E30" s="39" t="n">
        <x:f>'Returns'!$B$21*(1+(A30-'Assumptions'!$B$11)*3+(E23-'Assumptions'!$B$12)*4)</x:f>
        <x:v>0.21192865674465602</x:v>
      </x:c>
      <x:c r="F30" s="39" t="n">
        <x:f>'Returns'!$B$21*(1+(A30-'Assumptions'!$B$11)*3+(F23-'Assumptions'!$B$12)*4)</x:f>
        <x:v>0.21963515335355263</x:v>
      </x:c>
      <x:c r="G30" s="39" t="n">
        <x:f>'Returns'!$B$21*(1+(A30-'Assumptions'!$B$11)*3+(G23-'Assumptions'!$B$12)*4)</x:f>
        <x:v>0.22734164996244918</x:v>
      </x:c>
      <x:c r="H30" s="39" t="n">
        <x:f>'Returns'!$B$21*(1+(A30-'Assumptions'!$B$11)*3+(H23-'Assumptions'!$B$12)*4)</x:f>
        <x:v>0.23504814657134576</x:v>
      </x:c>
      <x:c r="M30" s="40" t="n">
        <x:v>0.3</x:v>
      </x:c>
      <x:c r="N30" s="40" t="n">
        <x:f>'Returns'!$B$22-(M30-'Assumptions'!$B$16)*0.4-(N23-'Assumptions'!$B$14)*0.8</x:f>
        <x:v>0.116</x:v>
      </x:c>
      <x:c r="O30" s="40" t="n">
        <x:f>'Returns'!$B$22-(M30-'Assumptions'!$B$16)*0.4-(O23-'Assumptions'!$B$14)*0.8</x:f>
        <x:v>0.112</x:v>
      </x:c>
      <x:c r="P30" s="40" t="n">
        <x:f>'Returns'!$B$22-(M30-'Assumptions'!$B$16)*0.4-(P23-'Assumptions'!$B$14)*0.8</x:f>
        <x:v>0.108</x:v>
      </x:c>
      <x:c r="Q30" s="40" t="n">
        <x:f>'Returns'!$B$22-(M30-'Assumptions'!$B$16)*0.4-(Q23-'Assumptions'!$B$14)*0.8</x:f>
        <x:v>0.10400000000000001</x:v>
      </x:c>
      <x:c r="R30" s="40" t="n">
        <x:f>'Returns'!$B$22-(M30-'Assumptions'!$B$16)*0.4-(R23-'Assumptions'!$B$14)*0.8</x:f>
        <x:v>0.1</x:v>
      </x:c>
      <x:c r="S30" s="40" t="n">
        <x:f>'Returns'!$B$22-(M30-'Assumptions'!$B$16)*0.4-(S23-'Assumptions'!$B$14)*0.8</x:f>
        <x:v>0.096</x:v>
      </x:c>
      <x:c r="T30" s="40" t="n">
        <x:f>'Returns'!$B$22-(M30-'Assumptions'!$B$16)*0.4-(T23-'Assumptions'!$B$14)*0.8</x:f>
        <x:v>0.092</x:v>
      </x:c>
    </x:row>
    <x:row r="31"/>
    <x:row r="32"/>
    <x:row r="33"/>
    <x:row r="34"/>
    <x:row r="35"/>
    <x:row r="36"/>
    <x:row r="37"/>
    <x:row r="38"/>
    <x:row r="39" ht="15" hidden="0" customHeight="1">
      <x:c r="A39" s="15" t="str">
        <x:v>5. Cash Sweep x Senior Rate</x:v>
      </x:c>
      <x:c r="B39" s="15"/>
      <x:c r="C39" s="15"/>
      <x:c r="D39" s="15"/>
      <x:c r="E39" s="15"/>
      <x:c r="F39" s="15"/>
      <x:c r="G39" s="15"/>
      <x:c r="H39" s="15"/>
      <x:c r="I39" s="15"/>
      <x:c r="M39" s="15" t="str">
        <x:v>6. NWC % Revenue x EBITDA Margin Expansion</x:v>
      </x:c>
      <x:c r="N39" s="15"/>
      <x:c r="O39" s="15"/>
      <x:c r="P39" s="15"/>
      <x:c r="Q39" s="15"/>
      <x:c r="R39" s="15"/>
      <x:c r="S39" s="15"/>
      <x:c r="T39" s="15"/>
      <x:c r="U39" s="15"/>
    </x:row>
    <x:row r="40" ht="15" hidden="0" customHeight="1">
      <x:c r="A40" s="39" t="str">
        <x:v>MOIC</x:v>
      </x:c>
      <x:c r="B40" s="39" t="n">
        <x:v>0.055</x:v>
      </x:c>
      <x:c r="C40" s="39" t="n">
        <x:v>0.06</x:v>
      </x:c>
      <x:c r="D40" s="39" t="n">
        <x:v>0.065</x:v>
      </x:c>
      <x:c r="E40" s="39" t="n">
        <x:v>0.07</x:v>
      </x:c>
      <x:c r="F40" s="39" t="n">
        <x:v>0.075</x:v>
      </x:c>
      <x:c r="G40" s="39" t="n">
        <x:v>0.08</x:v>
      </x:c>
      <x:c r="H40" s="39" t="n">
        <x:v>0.08499999999999999</x:v>
      </x:c>
      <x:c r="M40" s="40" t="str">
        <x:v>IRR</x:v>
      </x:c>
      <x:c r="N40" s="40" t="n">
        <x:v>0</x:v>
      </x:c>
      <x:c r="O40" s="40" t="n">
        <x:v>0.005</x:v>
      </x:c>
      <x:c r="P40" s="40" t="n">
        <x:v>0.01</x:v>
      </x:c>
      <x:c r="Q40" s="40" t="n">
        <x:v>0.015</x:v>
      </x:c>
      <x:c r="R40" s="40" t="n">
        <x:v>0.02</x:v>
      </x:c>
      <x:c r="S40" s="40" t="n">
        <x:v>0.025</x:v>
      </x:c>
      <x:c r="T40" s="40" t="n">
        <x:v>0.03</x:v>
      </x:c>
    </x:row>
    <x:row r="41" ht="15" hidden="0" customHeight="1">
      <x:c r="A41" s="39" t="n">
        <x:v>0.5</x:v>
      </x:c>
      <x:c r="B41" s="39" t="n">
        <x:f>'Returns'!$B$21*(1+(A41-'Assumptions'!$B$23)*0.25-(B40-'Assumptions'!$B$21)*1.8)</x:f>
        <x:v>0.09898031582051549</x:v>
      </x:c>
      <x:c r="C41" s="39" t="n">
        <x:f>'Returns'!$B$21*(1+(A41-'Assumptions'!$B$23)*0.25-(C40-'Assumptions'!$B$21)*1.8)</x:f>
        <x:v>0.09811333495201462</x:v>
      </x:c>
      <x:c r="D41" s="39" t="n">
        <x:f>'Returns'!$B$21*(1+(A41-'Assumptions'!$B$23)*0.25-(D40-'Assumptions'!$B$21)*1.8)</x:f>
        <x:v>0.09724635408351376</x:v>
      </x:c>
      <x:c r="E41" s="39" t="n">
        <x:f>'Returns'!$B$21*(1+(A41-'Assumptions'!$B$23)*0.25-(E40-'Assumptions'!$B$21)*1.8)</x:f>
        <x:v>0.09637937321501287</x:v>
      </x:c>
      <x:c r="F41" s="39" t="n">
        <x:f>'Returns'!$B$21*(1+(A41-'Assumptions'!$B$23)*0.25-(F40-'Assumptions'!$B$21)*1.8)</x:f>
        <x:v>0.09551239234651203</x:v>
      </x:c>
      <x:c r="G41" s="39" t="n">
        <x:f>'Returns'!$B$21*(1+(A41-'Assumptions'!$B$23)*0.25-(G40-'Assumptions'!$B$21)*1.8)</x:f>
        <x:v>0.09464541147801116</x:v>
      </x:c>
      <x:c r="H41" s="39" t="n">
        <x:f>'Returns'!$B$21*(1+(A41-'Assumptions'!$B$23)*0.25-(H40-'Assumptions'!$B$21)*1.8)</x:f>
        <x:v>0.09377843060951029</x:v>
      </x:c>
      <x:c r="M41" s="40" t="n">
        <x:v>0.08</x:v>
      </x:c>
      <x:c r="N41" s="40" t="n">
        <x:f>'Returns'!$B$22-(M41-'Assumptions'!$B$15)*0.2+(N40-'Assumptions'!$B$12)*1.4</x:f>
        <x:v>0.10700000000000001</x:v>
      </x:c>
      <x:c r="O41" s="40" t="n">
        <x:f>'Returns'!$B$22-(M41-'Assumptions'!$B$15)*0.2+(O40-'Assumptions'!$B$12)*1.4</x:f>
        <x:v>0.114</x:v>
      </x:c>
      <x:c r="P41" s="40" t="n">
        <x:f>'Returns'!$B$22-(M41-'Assumptions'!$B$15)*0.2+(P40-'Assumptions'!$B$12)*1.4</x:f>
        <x:v>0.12100000000000001</x:v>
      </x:c>
      <x:c r="Q41" s="40" t="n">
        <x:f>'Returns'!$B$22-(M41-'Assumptions'!$B$15)*0.2+(Q40-'Assumptions'!$B$12)*1.4</x:f>
        <x:v>0.128</x:v>
      </x:c>
      <x:c r="R41" s="40" t="n">
        <x:f>'Returns'!$B$22-(M41-'Assumptions'!$B$15)*0.2+(R40-'Assumptions'!$B$12)*1.4</x:f>
        <x:v>0.135</x:v>
      </x:c>
      <x:c r="S41" s="40" t="n">
        <x:f>'Returns'!$B$22-(M41-'Assumptions'!$B$15)*0.2+(S40-'Assumptions'!$B$12)*1.4</x:f>
        <x:v>0.14200000000000002</x:v>
      </x:c>
      <x:c r="T41" s="40" t="n">
        <x:f>'Returns'!$B$22-(M41-'Assumptions'!$B$15)*0.2+(T40-'Assumptions'!$B$12)*1.4</x:f>
        <x:v>0.149</x:v>
      </x:c>
    </x:row>
    <x:row r="42" ht="15" hidden="0" customHeight="1">
      <x:c r="A42" s="39" t="n">
        <x:v>0.55</x:v>
      </x:c>
      <x:c r="B42" s="39" t="n">
        <x:f>'Returns'!$B$21*(1+(A42-'Assumptions'!$B$23)*0.25-(B40-'Assumptions'!$B$21)*1.8)</x:f>
        <x:v>0.10018445591565557</x:v>
      </x:c>
      <x:c r="C42" s="39" t="n">
        <x:f>'Returns'!$B$21*(1+(A42-'Assumptions'!$B$23)*0.25-(C40-'Assumptions'!$B$21)*1.8)</x:f>
        <x:v>0.0993174750471547</x:v>
      </x:c>
      <x:c r="D42" s="39" t="n">
        <x:f>'Returns'!$B$21*(1+(A42-'Assumptions'!$B$23)*0.25-(D40-'Assumptions'!$B$21)*1.8)</x:f>
        <x:v>0.09845049417865384</x:v>
      </x:c>
      <x:c r="E42" s="39" t="n">
        <x:f>'Returns'!$B$21*(1+(A42-'Assumptions'!$B$23)*0.25-(E40-'Assumptions'!$B$21)*1.8)</x:f>
        <x:v>0.09758351331015297</x:v>
      </x:c>
      <x:c r="F42" s="39" t="n">
        <x:f>'Returns'!$B$21*(1+(A42-'Assumptions'!$B$23)*0.25-(F40-'Assumptions'!$B$21)*1.8)</x:f>
        <x:v>0.09671653244165211</x:v>
      </x:c>
      <x:c r="G42" s="39" t="n">
        <x:f>'Returns'!$B$21*(1+(A42-'Assumptions'!$B$23)*0.25-(G40-'Assumptions'!$B$21)*1.8)</x:f>
        <x:v>0.09584955157315124</x:v>
      </x:c>
      <x:c r="H42" s="39" t="n">
        <x:f>'Returns'!$B$21*(1+(A42-'Assumptions'!$B$23)*0.25-(H40-'Assumptions'!$B$21)*1.8)</x:f>
        <x:v>0.09498257070465038</x:v>
      </x:c>
      <x:c r="M42" s="40" t="n">
        <x:v>0.09</x:v>
      </x:c>
      <x:c r="N42" s="40" t="n">
        <x:f>'Returns'!$B$22-(M42-'Assumptions'!$B$15)*0.2+(N40-'Assumptions'!$B$12)*1.4</x:f>
        <x:v>0.10500000000000001</x:v>
      </x:c>
      <x:c r="O42" s="40" t="n">
        <x:f>'Returns'!$B$22-(M42-'Assumptions'!$B$15)*0.2+(O40-'Assumptions'!$B$12)*1.4</x:f>
        <x:v>0.112</x:v>
      </x:c>
      <x:c r="P42" s="40" t="n">
        <x:f>'Returns'!$B$22-(M42-'Assumptions'!$B$15)*0.2+(P40-'Assumptions'!$B$12)*1.4</x:f>
        <x:v>0.11900000000000001</x:v>
      </x:c>
      <x:c r="Q42" s="40" t="n">
        <x:f>'Returns'!$B$22-(M42-'Assumptions'!$B$15)*0.2+(Q40-'Assumptions'!$B$12)*1.4</x:f>
        <x:v>0.126</x:v>
      </x:c>
      <x:c r="R42" s="40" t="n">
        <x:f>'Returns'!$B$22-(M42-'Assumptions'!$B$15)*0.2+(R40-'Assumptions'!$B$12)*1.4</x:f>
        <x:v>0.133</x:v>
      </x:c>
      <x:c r="S42" s="40" t="n">
        <x:f>'Returns'!$B$22-(M42-'Assumptions'!$B$15)*0.2+(S40-'Assumptions'!$B$12)*1.4</x:f>
        <x:v>0.14</x:v>
      </x:c>
      <x:c r="T42" s="40" t="n">
        <x:f>'Returns'!$B$22-(M42-'Assumptions'!$B$15)*0.2+(T40-'Assumptions'!$B$12)*1.4</x:f>
        <x:v>0.147</x:v>
      </x:c>
    </x:row>
    <x:row r="43" ht="15" hidden="0" customHeight="1">
      <x:c r="A43" s="39" t="n">
        <x:v>0.6</x:v>
      </x:c>
      <x:c r="B43" s="39" t="n">
        <x:f>'Returns'!$B$21*(1+(A43-'Assumptions'!$B$23)*0.25-(B40-'Assumptions'!$B$21)*1.8)</x:f>
        <x:v>0.10138859601079567</x:v>
      </x:c>
      <x:c r="C43" s="39" t="n">
        <x:f>'Returns'!$B$21*(1+(A43-'Assumptions'!$B$23)*0.25-(C40-'Assumptions'!$B$21)*1.8)</x:f>
        <x:v>0.10052161514229481</x:v>
      </x:c>
      <x:c r="D43" s="39" t="n">
        <x:f>'Returns'!$B$21*(1+(A43-'Assumptions'!$B$23)*0.25-(D40-'Assumptions'!$B$21)*1.8)</x:f>
        <x:v>0.09965463427379392</x:v>
      </x:c>
      <x:c r="E43" s="39" t="n">
        <x:f>'Returns'!$B$21*(1+(A43-'Assumptions'!$B$23)*0.25-(E40-'Assumptions'!$B$21)*1.8)</x:f>
        <x:v>0.09878765340529308</x:v>
      </x:c>
      <x:c r="F43" s="39" t="n">
        <x:f>'Returns'!$B$21*(1+(A43-'Assumptions'!$B$23)*0.25-(F40-'Assumptions'!$B$21)*1.8)</x:f>
        <x:v>0.0979206725367922</x:v>
      </x:c>
      <x:c r="G43" s="39" t="n">
        <x:f>'Returns'!$B$21*(1+(A43-'Assumptions'!$B$23)*0.25-(G40-'Assumptions'!$B$21)*1.8)</x:f>
        <x:v>0.09705369166829134</x:v>
      </x:c>
      <x:c r="H43" s="39" t="n">
        <x:f>'Returns'!$B$21*(1+(A43-'Assumptions'!$B$23)*0.25-(H40-'Assumptions'!$B$21)*1.8)</x:f>
        <x:v>0.09618671079979048</x:v>
      </x:c>
      <x:c r="M43" s="40" t="n">
        <x:v>0.1</x:v>
      </x:c>
      <x:c r="N43" s="40" t="n">
        <x:f>'Returns'!$B$22-(M43-'Assumptions'!$B$15)*0.2+(N40-'Assumptions'!$B$12)*1.4</x:f>
        <x:v>0.10300000000000001</x:v>
      </x:c>
      <x:c r="O43" s="40" t="n">
        <x:f>'Returns'!$B$22-(M43-'Assumptions'!$B$15)*0.2+(O40-'Assumptions'!$B$12)*1.4</x:f>
        <x:v>0.11</x:v>
      </x:c>
      <x:c r="P43" s="40" t="n">
        <x:f>'Returns'!$B$22-(M43-'Assumptions'!$B$15)*0.2+(P40-'Assumptions'!$B$12)*1.4</x:f>
        <x:v>0.117</x:v>
      </x:c>
      <x:c r="Q43" s="40" t="n">
        <x:f>'Returns'!$B$22-(M43-'Assumptions'!$B$15)*0.2+(Q40-'Assumptions'!$B$12)*1.4</x:f>
        <x:v>0.124</x:v>
      </x:c>
      <x:c r="R43" s="40" t="n">
        <x:f>'Returns'!$B$22-(M43-'Assumptions'!$B$15)*0.2+(R40-'Assumptions'!$B$12)*1.4</x:f>
        <x:v>0.131</x:v>
      </x:c>
      <x:c r="S43" s="40" t="n">
        <x:f>'Returns'!$B$22-(M43-'Assumptions'!$B$15)*0.2+(S40-'Assumptions'!$B$12)*1.4</x:f>
        <x:v>0.138</x:v>
      </x:c>
      <x:c r="T43" s="40" t="n">
        <x:f>'Returns'!$B$22-(M43-'Assumptions'!$B$15)*0.2+(T40-'Assumptions'!$B$12)*1.4</x:f>
        <x:v>0.145</x:v>
      </x:c>
    </x:row>
    <x:row r="44" ht="15" hidden="0" customHeight="1">
      <x:c r="A44" s="39" t="n">
        <x:v>0.65</x:v>
      </x:c>
      <x:c r="B44" s="39" t="n">
        <x:f>'Returns'!$B$21*(1+(A44-'Assumptions'!$B$23)*0.25-(B40-'Assumptions'!$B$21)*1.8)</x:f>
        <x:v>0.10259273610593575</x:v>
      </x:c>
      <x:c r="C44" s="39" t="n">
        <x:f>'Returns'!$B$21*(1+(A44-'Assumptions'!$B$23)*0.25-(C40-'Assumptions'!$B$21)*1.8)</x:f>
        <x:v>0.10172575523743489</x:v>
      </x:c>
      <x:c r="D44" s="39" t="n">
        <x:f>'Returns'!$B$21*(1+(A44-'Assumptions'!$B$23)*0.25-(D40-'Assumptions'!$B$21)*1.8)</x:f>
        <x:v>0.10085877436893402</x:v>
      </x:c>
      <x:c r="E44" s="39" t="n">
        <x:f>'Returns'!$B$21*(1+(A44-'Assumptions'!$B$23)*0.25-(E40-'Assumptions'!$B$21)*1.8)</x:f>
        <x:v>0.09999179350043316</x:v>
      </x:c>
      <x:c r="F44" s="39" t="n">
        <x:f>'Returns'!$B$21*(1+(A44-'Assumptions'!$B$23)*0.25-(F40-'Assumptions'!$B$21)*1.8)</x:f>
        <x:v>0.09912481263193229</x:v>
      </x:c>
      <x:c r="G44" s="39" t="n">
        <x:f>'Returns'!$B$21*(1+(A44-'Assumptions'!$B$23)*0.25-(G40-'Assumptions'!$B$21)*1.8)</x:f>
        <x:v>0.09825783176343143</x:v>
      </x:c>
      <x:c r="H44" s="39" t="n">
        <x:f>'Returns'!$B$21*(1+(A44-'Assumptions'!$B$23)*0.25-(H40-'Assumptions'!$B$21)*1.8)</x:f>
        <x:v>0.09739085089493055</x:v>
      </x:c>
      <x:c r="M44" s="40" t="n">
        <x:v>0.11</x:v>
      </x:c>
      <x:c r="N44" s="40" t="n">
        <x:f>'Returns'!$B$22-(M44-'Assumptions'!$B$15)*0.2+(N40-'Assumptions'!$B$12)*1.4</x:f>
        <x:v>0.101</x:v>
      </x:c>
      <x:c r="O44" s="40" t="n">
        <x:f>'Returns'!$B$22-(M44-'Assumptions'!$B$15)*0.2+(O40-'Assumptions'!$B$12)*1.4</x:f>
        <x:v>0.108</x:v>
      </x:c>
      <x:c r="P44" s="40" t="n">
        <x:f>'Returns'!$B$22-(M44-'Assumptions'!$B$15)*0.2+(P40-'Assumptions'!$B$12)*1.4</x:f>
        <x:v>0.115</x:v>
      </x:c>
      <x:c r="Q44" s="40" t="n">
        <x:f>'Returns'!$B$22-(M44-'Assumptions'!$B$15)*0.2+(Q40-'Assumptions'!$B$12)*1.4</x:f>
        <x:v>0.122</x:v>
      </x:c>
      <x:c r="R44" s="40" t="n">
        <x:f>'Returns'!$B$22-(M44-'Assumptions'!$B$15)*0.2+(R40-'Assumptions'!$B$12)*1.4</x:f>
        <x:v>0.129</x:v>
      </x:c>
      <x:c r="S44" s="40" t="n">
        <x:f>'Returns'!$B$22-(M44-'Assumptions'!$B$15)*0.2+(S40-'Assumptions'!$B$12)*1.4</x:f>
        <x:v>0.136</x:v>
      </x:c>
      <x:c r="T44" s="40" t="n">
        <x:f>'Returns'!$B$22-(M44-'Assumptions'!$B$15)*0.2+(T40-'Assumptions'!$B$12)*1.4</x:f>
        <x:v>0.143</x:v>
      </x:c>
    </x:row>
    <x:row r="45" ht="15" hidden="0" customHeight="1">
      <x:c r="A45" s="39" t="n">
        <x:v>0.7</x:v>
      </x:c>
      <x:c r="B45" s="39" t="n">
        <x:f>'Returns'!$B$21*(1+(A45-'Assumptions'!$B$23)*0.25-(B40-'Assumptions'!$B$21)*1.8)</x:f>
        <x:v>0.10379687620107586</x:v>
      </x:c>
      <x:c r="C45" s="39" t="n">
        <x:f>'Returns'!$B$21*(1+(A45-'Assumptions'!$B$23)*0.25-(C40-'Assumptions'!$B$21)*1.8)</x:f>
        <x:v>0.10292989533257497</x:v>
      </x:c>
      <x:c r="D45" s="39" t="n">
        <x:f>'Returns'!$B$21*(1+(A45-'Assumptions'!$B$23)*0.25-(D40-'Assumptions'!$B$21)*1.8)</x:f>
        <x:v>0.10206291446407413</x:v>
      </x:c>
      <x:c r="E45" s="39" t="n">
        <x:f>'Returns'!$B$21*(1+(A45-'Assumptions'!$B$23)*0.25-(E40-'Assumptions'!$B$21)*1.8)</x:f>
        <x:v>0.10119593359557325</x:v>
      </x:c>
      <x:c r="F45" s="39" t="n">
        <x:f>'Returns'!$B$21*(1+(A45-'Assumptions'!$B$23)*0.25-(F40-'Assumptions'!$B$21)*1.8)</x:f>
        <x:v>0.10032895272707239</x:v>
      </x:c>
      <x:c r="G45" s="39" t="n">
        <x:f>'Returns'!$B$21*(1+(A45-'Assumptions'!$B$23)*0.25-(G40-'Assumptions'!$B$21)*1.8)</x:f>
        <x:v>0.09946197185857152</x:v>
      </x:c>
      <x:c r="H45" s="39" t="n">
        <x:f>'Returns'!$B$21*(1+(A45-'Assumptions'!$B$23)*0.25-(H40-'Assumptions'!$B$21)*1.8)</x:f>
        <x:v>0.09859499099007066</x:v>
      </x:c>
      <x:c r="M45" s="40" t="n">
        <x:v>0.12</x:v>
      </x:c>
      <x:c r="N45" s="40" t="n">
        <x:f>'Returns'!$B$22-(M45-'Assumptions'!$B$15)*0.2+(N40-'Assumptions'!$B$12)*1.4</x:f>
        <x:v>0.099</x:v>
      </x:c>
      <x:c r="O45" s="40" t="n">
        <x:f>'Returns'!$B$22-(M45-'Assumptions'!$B$15)*0.2+(O40-'Assumptions'!$B$12)*1.4</x:f>
        <x:v>0.106</x:v>
      </x:c>
      <x:c r="P45" s="40" t="n">
        <x:f>'Returns'!$B$22-(M45-'Assumptions'!$B$15)*0.2+(P40-'Assumptions'!$B$12)*1.4</x:f>
        <x:v>0.113</x:v>
      </x:c>
      <x:c r="Q45" s="40" t="n">
        <x:f>'Returns'!$B$22-(M45-'Assumptions'!$B$15)*0.2+(Q40-'Assumptions'!$B$12)*1.4</x:f>
        <x:v>0.12</x:v>
      </x:c>
      <x:c r="R45" s="40" t="n">
        <x:f>'Returns'!$B$22-(M45-'Assumptions'!$B$15)*0.2+(R40-'Assumptions'!$B$12)*1.4</x:f>
        <x:v>0.127</x:v>
      </x:c>
      <x:c r="S45" s="40" t="n">
        <x:f>'Returns'!$B$22-(M45-'Assumptions'!$B$15)*0.2+(S40-'Assumptions'!$B$12)*1.4</x:f>
        <x:v>0.134</x:v>
      </x:c>
      <x:c r="T45" s="40" t="n">
        <x:f>'Returns'!$B$22-(M45-'Assumptions'!$B$15)*0.2+(T40-'Assumptions'!$B$12)*1.4</x:f>
        <x:v>0.141</x:v>
      </x:c>
    </x:row>
    <x:row r="46" ht="15" hidden="0" customHeight="1">
      <x:c r="A46" s="39" t="n">
        <x:v>0.75</x:v>
      </x:c>
      <x:c r="B46" s="39" t="n">
        <x:f>'Returns'!$B$21*(1+(A46-'Assumptions'!$B$23)*0.25-(B40-'Assumptions'!$B$21)*1.8)</x:f>
        <x:v>0.10500101629621594</x:v>
      </x:c>
      <x:c r="C46" s="39" t="n">
        <x:f>'Returns'!$B$21*(1+(A46-'Assumptions'!$B$23)*0.25-(C40-'Assumptions'!$B$21)*1.8)</x:f>
        <x:v>0.10413403542771507</x:v>
      </x:c>
      <x:c r="D46" s="39" t="n">
        <x:f>'Returns'!$B$21*(1+(A46-'Assumptions'!$B$23)*0.25-(D40-'Assumptions'!$B$21)*1.8)</x:f>
        <x:v>0.10326705455921421</x:v>
      </x:c>
      <x:c r="E46" s="39" t="n">
        <x:f>'Returns'!$B$21*(1+(A46-'Assumptions'!$B$23)*0.25-(E40-'Assumptions'!$B$21)*1.8)</x:f>
        <x:v>0.10240007369071333</x:v>
      </x:c>
      <x:c r="F46" s="39" t="n">
        <x:f>'Returns'!$B$21*(1+(A46-'Assumptions'!$B$23)*0.25-(F40-'Assumptions'!$B$21)*1.8)</x:f>
        <x:v>0.10153309282221248</x:v>
      </x:c>
      <x:c r="G46" s="39" t="n">
        <x:f>'Returns'!$B$21*(1+(A46-'Assumptions'!$B$23)*0.25-(G40-'Assumptions'!$B$21)*1.8)</x:f>
        <x:v>0.1006661119537116</x:v>
      </x:c>
      <x:c r="H46" s="39" t="n">
        <x:f>'Returns'!$B$21*(1+(A46-'Assumptions'!$B$23)*0.25-(H40-'Assumptions'!$B$21)*1.8)</x:f>
        <x:v>0.09979913108521074</x:v>
      </x:c>
      <x:c r="M46" s="40" t="n">
        <x:v>0.13</x:v>
      </x:c>
      <x:c r="N46" s="40" t="n">
        <x:f>'Returns'!$B$22-(M46-'Assumptions'!$B$15)*0.2+(N40-'Assumptions'!$B$12)*1.4</x:f>
        <x:v>0.097</x:v>
      </x:c>
      <x:c r="O46" s="40" t="n">
        <x:f>'Returns'!$B$22-(M46-'Assumptions'!$B$15)*0.2+(O40-'Assumptions'!$B$12)*1.4</x:f>
        <x:v>0.104</x:v>
      </x:c>
      <x:c r="P46" s="40" t="n">
        <x:f>'Returns'!$B$22-(M46-'Assumptions'!$B$15)*0.2+(P40-'Assumptions'!$B$12)*1.4</x:f>
        <x:v>0.111</x:v>
      </x:c>
      <x:c r="Q46" s="40" t="n">
        <x:f>'Returns'!$B$22-(M46-'Assumptions'!$B$15)*0.2+(Q40-'Assumptions'!$B$12)*1.4</x:f>
        <x:v>0.118</x:v>
      </x:c>
      <x:c r="R46" s="40" t="n">
        <x:f>'Returns'!$B$22-(M46-'Assumptions'!$B$15)*0.2+(R40-'Assumptions'!$B$12)*1.4</x:f>
        <x:v>0.125</x:v>
      </x:c>
      <x:c r="S46" s="40" t="n">
        <x:f>'Returns'!$B$22-(M46-'Assumptions'!$B$15)*0.2+(S40-'Assumptions'!$B$12)*1.4</x:f>
        <x:v>0.132</x:v>
      </x:c>
      <x:c r="T46" s="40" t="n">
        <x:f>'Returns'!$B$22-(M46-'Assumptions'!$B$15)*0.2+(T40-'Assumptions'!$B$12)*1.4</x:f>
        <x:v>0.13899999999999998</x:v>
      </x:c>
    </x:row>
    <x:row r="47" ht="15" hidden="0" customHeight="1">
      <x:c r="A47" s="39" t="n">
        <x:v>0.8</x:v>
      </x:c>
      <x:c r="B47" s="39" t="n">
        <x:f>'Returns'!$B$21*(1+(A47-'Assumptions'!$B$23)*0.25-(B40-'Assumptions'!$B$21)*1.8)</x:f>
        <x:v>0.10620515639135603</x:v>
      </x:c>
      <x:c r="C47" s="39" t="n">
        <x:f>'Returns'!$B$21*(1+(A47-'Assumptions'!$B$23)*0.25-(C40-'Assumptions'!$B$21)*1.8)</x:f>
        <x:v>0.10533817552285515</x:v>
      </x:c>
      <x:c r="D47" s="39" t="n">
        <x:f>'Returns'!$B$21*(1+(A47-'Assumptions'!$B$23)*0.25-(D40-'Assumptions'!$B$21)*1.8)</x:f>
        <x:v>0.1044711946543543</x:v>
      </x:c>
      <x:c r="E47" s="39" t="n">
        <x:f>'Returns'!$B$21*(1+(A47-'Assumptions'!$B$23)*0.25-(E40-'Assumptions'!$B$21)*1.8)</x:f>
        <x:v>0.10360421378585342</x:v>
      </x:c>
      <x:c r="F47" s="39" t="n">
        <x:f>'Returns'!$B$21*(1+(A47-'Assumptions'!$B$23)*0.25-(F40-'Assumptions'!$B$21)*1.8)</x:f>
        <x:v>0.10273723291735257</x:v>
      </x:c>
      <x:c r="G47" s="39" t="n">
        <x:f>'Returns'!$B$21*(1+(A47-'Assumptions'!$B$23)*0.25-(G40-'Assumptions'!$B$21)*1.8)</x:f>
        <x:v>0.1018702520488517</x:v>
      </x:c>
      <x:c r="H47" s="39" t="n">
        <x:f>'Returns'!$B$21*(1+(A47-'Assumptions'!$B$23)*0.25-(H40-'Assumptions'!$B$21)*1.8)</x:f>
        <x:v>0.10100327118035084</x:v>
      </x:c>
      <x:c r="M47" s="40" t="n">
        <x:v>0.14</x:v>
      </x:c>
      <x:c r="N47" s="40" t="n">
        <x:f>'Returns'!$B$22-(M47-'Assumptions'!$B$15)*0.2+(N40-'Assumptions'!$B$12)*1.4</x:f>
        <x:v>0.095</x:v>
      </x:c>
      <x:c r="O47" s="40" t="n">
        <x:f>'Returns'!$B$22-(M47-'Assumptions'!$B$15)*0.2+(O40-'Assumptions'!$B$12)*1.4</x:f>
        <x:v>0.102</x:v>
      </x:c>
      <x:c r="P47" s="40" t="n">
        <x:f>'Returns'!$B$22-(M47-'Assumptions'!$B$15)*0.2+(P40-'Assumptions'!$B$12)*1.4</x:f>
        <x:v>0.109</x:v>
      </x:c>
      <x:c r="Q47" s="40" t="n">
        <x:f>'Returns'!$B$22-(M47-'Assumptions'!$B$15)*0.2+(Q40-'Assumptions'!$B$12)*1.4</x:f>
        <x:v>0.11599999999999999</x:v>
      </x:c>
      <x:c r="R47" s="40" t="n">
        <x:f>'Returns'!$B$22-(M47-'Assumptions'!$B$15)*0.2+(R40-'Assumptions'!$B$12)*1.4</x:f>
        <x:v>0.123</x:v>
      </x:c>
      <x:c r="S47" s="40" t="n">
        <x:f>'Returns'!$B$22-(M47-'Assumptions'!$B$15)*0.2+(S40-'Assumptions'!$B$12)*1.4</x:f>
        <x:v>0.13</x:v>
      </x:c>
      <x:c r="T47" s="40" t="n">
        <x:f>'Returns'!$B$22-(M47-'Assumptions'!$B$15)*0.2+(T40-'Assumptions'!$B$12)*1.4</x:f>
        <x:v>0.13699999999999998</x:v>
      </x:c>
    </x:row>
    <x:row r="48"/>
    <x:row r="49"/>
    <x:row r="50"/>
    <x:row r="51"/>
    <x:row r="52"/>
    <x:row r="53"/>
    <x:row r="54"/>
    <x:row r="55"/>
    <x:row r="56" ht="15" hidden="0" customHeight="1">
      <x:c r="A56" s="15" t="str">
        <x:v>7. Exit Multiple x Sub Debt Multiple</x:v>
      </x:c>
      <x:c r="B56" s="15"/>
      <x:c r="C56" s="15"/>
      <x:c r="D56" s="15"/>
      <x:c r="E56" s="15"/>
      <x:c r="F56" s="15"/>
      <x:c r="G56" s="15"/>
      <x:c r="H56" s="15"/>
      <x:c r="I56" s="15"/>
      <x:c r="M56" s="15" t="str">
        <x:v>8. Entry Fees x Exit Fees</x:v>
      </x:c>
      <x:c r="N56" s="15"/>
      <x:c r="O56" s="15"/>
      <x:c r="P56" s="15"/>
      <x:c r="Q56" s="15"/>
      <x:c r="R56" s="15"/>
      <x:c r="S56" s="15"/>
      <x:c r="T56" s="15"/>
      <x:c r="U56" s="15"/>
    </x:row>
    <x:row r="57" ht="15" hidden="0" customHeight="1">
      <x:c r="A57" s="39" t="str">
        <x:v>MOIC</x:v>
      </x:c>
      <x:c r="B57" s="39" t="n">
        <x:v>0.5</x:v>
      </x:c>
      <x:c r="C57" s="39" t="n">
        <x:v>0.75</x:v>
      </x:c>
      <x:c r="D57" s="39" t="n">
        <x:v>1</x:v>
      </x:c>
      <x:c r="E57" s="39" t="n">
        <x:v>1.25</x:v>
      </x:c>
      <x:c r="F57" s="39" t="n">
        <x:v>1.5</x:v>
      </x:c>
      <x:c r="G57" s="39" t="n">
        <x:v>1.75</x:v>
      </x:c>
      <x:c r="H57" s="39" t="n">
        <x:v>2</x:v>
      </x:c>
      <x:c r="M57" s="40" t="str">
        <x:v>IRR</x:v>
      </x:c>
      <x:c r="N57" s="40" t="n">
        <x:v>0.005</x:v>
      </x:c>
      <x:c r="O57" s="40" t="n">
        <x:v>0.01</x:v>
      </x:c>
      <x:c r="P57" s="40" t="n">
        <x:v>0.015</x:v>
      </x:c>
      <x:c r="Q57" s="40" t="n">
        <x:v>0.02</x:v>
      </x:c>
      <x:c r="R57" s="40" t="n">
        <x:v>0.025</x:v>
      </x:c>
      <x:c r="S57" s="40" t="n">
        <x:v>0.030000000000000002</x:v>
      </x:c>
      <x:c r="T57" s="40" t="n">
        <x:v>0.034999999999999996</x:v>
      </x:c>
    </x:row>
    <x:row r="58" ht="15" hidden="0" customHeight="1">
      <x:c r="A58" s="39" t="n">
        <x:v>8.5</x:v>
      </x:c>
      <x:c r="B58" s="39" t="n">
        <x:f>'Returns'!$B$21*(1+(A58-'Assumptions'!$B$10)*0.16-(B57-'Assumptions'!$B$20)*0.08)</x:f>
        <x:v>0.054523463507943314</x:v>
      </x:c>
      <x:c r="C58" s="39" t="n">
        <x:f>'Returns'!$B$21*(1+(A58-'Assumptions'!$B$10)*0.16-(C57-'Assumptions'!$B$20)*0.08)</x:f>
        <x:v>0.05259683935571917</x:v>
      </x:c>
      <x:c r="D58" s="39" t="n">
        <x:f>'Returns'!$B$21*(1+(A58-'Assumptions'!$B$10)*0.16-(D57-'Assumptions'!$B$20)*0.08)</x:f>
        <x:v>0.05067021520349503</x:v>
      </x:c>
      <x:c r="E58" s="39" t="n">
        <x:f>'Returns'!$B$21*(1+(A58-'Assumptions'!$B$10)*0.16-(E57-'Assumptions'!$B$20)*0.08)</x:f>
        <x:v>0.048743591051270886</x:v>
      </x:c>
      <x:c r="F58" s="39" t="n">
        <x:f>'Returns'!$B$21*(1+(A58-'Assumptions'!$B$10)*0.16-(F57-'Assumptions'!$B$20)*0.08)</x:f>
        <x:v>0.046816966899046734</x:v>
      </x:c>
      <x:c r="G58" s="39" t="n">
        <x:f>'Returns'!$B$21*(1+(A58-'Assumptions'!$B$10)*0.16-(G57-'Assumptions'!$B$20)*0.08)</x:f>
        <x:v>0.04489034274682259</x:v>
      </x:c>
      <x:c r="H58" s="39" t="n">
        <x:f>'Returns'!$B$21*(1+(A58-'Assumptions'!$B$10)*0.16-(H57-'Assumptions'!$B$20)*0.08)</x:f>
        <x:v>0.042963718594598445</x:v>
      </x:c>
      <x:c r="M58" s="40" t="n">
        <x:v>0.01</x:v>
      </x:c>
      <x:c r="N58" s="40" t="n">
        <x:f>'Returns'!$B$22-(M58-'Assumptions'!$B$7)*0.5-(N57-'Assumptions'!$B$7)*0.4</x:f>
        <x:v>0.1355</x:v>
      </x:c>
      <x:c r="O58" s="40" t="n">
        <x:f>'Returns'!$B$22-(M58-'Assumptions'!$B$7)*0.5-(O57-'Assumptions'!$B$7)*0.4</x:f>
        <x:v>0.1335</x:v>
      </x:c>
      <x:c r="P58" s="40" t="n">
        <x:f>'Returns'!$B$22-(M58-'Assumptions'!$B$7)*0.5-(P57-'Assumptions'!$B$7)*0.4</x:f>
        <x:v>0.1315</x:v>
      </x:c>
      <x:c r="Q58" s="40" t="n">
        <x:f>'Returns'!$B$22-(M58-'Assumptions'!$B$7)*0.5-(Q57-'Assumptions'!$B$7)*0.4</x:f>
        <x:v>0.1295</x:v>
      </x:c>
      <x:c r="R58" s="40" t="n">
        <x:f>'Returns'!$B$22-(M58-'Assumptions'!$B$7)*0.5-(R57-'Assumptions'!$B$7)*0.4</x:f>
        <x:v>0.1275</x:v>
      </x:c>
      <x:c r="S58" s="40" t="n">
        <x:f>'Returns'!$B$22-(M58-'Assumptions'!$B$7)*0.5-(S57-'Assumptions'!$B$7)*0.4</x:f>
        <x:v>0.1255</x:v>
      </x:c>
      <x:c r="T58" s="40" t="n">
        <x:f>'Returns'!$B$22-(M58-'Assumptions'!$B$7)*0.5-(T57-'Assumptions'!$B$7)*0.4</x:f>
        <x:v>0.1235</x:v>
      </x:c>
    </x:row>
    <x:row r="59" ht="15" hidden="0" customHeight="1">
      <x:c r="A59" s="39" t="n">
        <x:v>9</x:v>
      </x:c>
      <x:c r="B59" s="39" t="n">
        <x:f>'Returns'!$B$21*(1+(A59-'Assumptions'!$B$10)*0.16-(B57-'Assumptions'!$B$20)*0.08)</x:f>
        <x:v>0.06222996011683989</x:v>
      </x:c>
      <x:c r="C59" s="39" t="n">
        <x:f>'Returns'!$B$21*(1+(A59-'Assumptions'!$B$10)*0.16-(C57-'Assumptions'!$B$20)*0.08)</x:f>
        <x:v>0.06030333596461575</x:v>
      </x:c>
      <x:c r="D59" s="39" t="n">
        <x:f>'Returns'!$B$21*(1+(A59-'Assumptions'!$B$10)*0.16-(D57-'Assumptions'!$B$20)*0.08)</x:f>
        <x:v>0.0583767118123916</x:v>
      </x:c>
      <x:c r="E59" s="39" t="n">
        <x:f>'Returns'!$B$21*(1+(A59-'Assumptions'!$B$10)*0.16-(E57-'Assumptions'!$B$20)*0.08)</x:f>
        <x:v>0.056450087660167465</x:v>
      </x:c>
      <x:c r="F59" s="39" t="n">
        <x:f>'Returns'!$B$21*(1+(A59-'Assumptions'!$B$10)*0.16-(F57-'Assumptions'!$B$20)*0.08)</x:f>
        <x:v>0.054523463507943314</x:v>
      </x:c>
      <x:c r="G59" s="39" t="n">
        <x:f>'Returns'!$B$21*(1+(A59-'Assumptions'!$B$10)*0.16-(G57-'Assumptions'!$B$20)*0.08)</x:f>
        <x:v>0.05259683935571917</x:v>
      </x:c>
      <x:c r="H59" s="39" t="n">
        <x:f>'Returns'!$B$21*(1+(A59-'Assumptions'!$B$10)*0.16-(H57-'Assumptions'!$B$20)*0.08)</x:f>
        <x:v>0.050670215203495024</x:v>
      </x:c>
      <x:c r="M59" s="40" t="n">
        <x:v>0.015</x:v>
      </x:c>
      <x:c r="N59" s="40" t="n">
        <x:f>'Returns'!$B$22-(M59-'Assumptions'!$B$7)*0.5-(N57-'Assumptions'!$B$7)*0.4</x:f>
        <x:v>0.133</x:v>
      </x:c>
      <x:c r="O59" s="40" t="n">
        <x:f>'Returns'!$B$22-(M59-'Assumptions'!$B$7)*0.5-(O57-'Assumptions'!$B$7)*0.4</x:f>
        <x:v>0.131</x:v>
      </x:c>
      <x:c r="P59" s="40" t="n">
        <x:f>'Returns'!$B$22-(M59-'Assumptions'!$B$7)*0.5-(P57-'Assumptions'!$B$7)*0.4</x:f>
        <x:v>0.129</x:v>
      </x:c>
      <x:c r="Q59" s="40" t="n">
        <x:f>'Returns'!$B$22-(M59-'Assumptions'!$B$7)*0.5-(Q57-'Assumptions'!$B$7)*0.4</x:f>
        <x:v>0.127</x:v>
      </x:c>
      <x:c r="R59" s="40" t="n">
        <x:f>'Returns'!$B$22-(M59-'Assumptions'!$B$7)*0.5-(R57-'Assumptions'!$B$7)*0.4</x:f>
        <x:v>0.125</x:v>
      </x:c>
      <x:c r="S59" s="40" t="n">
        <x:f>'Returns'!$B$22-(M59-'Assumptions'!$B$7)*0.5-(S57-'Assumptions'!$B$7)*0.4</x:f>
        <x:v>0.123</x:v>
      </x:c>
      <x:c r="T59" s="40" t="n">
        <x:f>'Returns'!$B$22-(M59-'Assumptions'!$B$7)*0.5-(T57-'Assumptions'!$B$7)*0.4</x:f>
        <x:v>0.121</x:v>
      </x:c>
    </x:row>
    <x:row r="60" ht="15" hidden="0" customHeight="1">
      <x:c r="A60" s="39" t="n">
        <x:v>9.5</x:v>
      </x:c>
      <x:c r="B60" s="39" t="n">
        <x:f>'Returns'!$B$21*(1+(A60-'Assumptions'!$B$10)*0.16-(B57-'Assumptions'!$B$20)*0.08)</x:f>
        <x:v>0.06993645672573648</x:v>
      </x:c>
      <x:c r="C60" s="39" t="n">
        <x:f>'Returns'!$B$21*(1+(A60-'Assumptions'!$B$10)*0.16-(C57-'Assumptions'!$B$20)*0.08)</x:f>
        <x:v>0.06800983257351234</x:v>
      </x:c>
      <x:c r="D60" s="39" t="n">
        <x:f>'Returns'!$B$21*(1+(A60-'Assumptions'!$B$10)*0.16-(D57-'Assumptions'!$B$20)*0.08)</x:f>
        <x:v>0.06608320842128819</x:v>
      </x:c>
      <x:c r="E60" s="39" t="n">
        <x:f>'Returns'!$B$21*(1+(A60-'Assumptions'!$B$10)*0.16-(E57-'Assumptions'!$B$20)*0.08)</x:f>
        <x:v>0.06415658426906405</x:v>
      </x:c>
      <x:c r="F60" s="39" t="n">
        <x:f>'Returns'!$B$21*(1+(A60-'Assumptions'!$B$10)*0.16-(F57-'Assumptions'!$B$20)*0.08)</x:f>
        <x:v>0.06222996011683991</x:v>
      </x:c>
      <x:c r="G60" s="39" t="n">
        <x:f>'Returns'!$B$21*(1+(A60-'Assumptions'!$B$10)*0.16-(G57-'Assumptions'!$B$20)*0.08)</x:f>
        <x:v>0.060303335964615755</x:v>
      </x:c>
      <x:c r="H60" s="39" t="n">
        <x:f>'Returns'!$B$21*(1+(A60-'Assumptions'!$B$10)*0.16-(H57-'Assumptions'!$B$20)*0.08)</x:f>
        <x:v>0.05837671181239161</x:v>
      </x:c>
      <x:c r="M60" s="40" t="n">
        <x:v>0.02</x:v>
      </x:c>
      <x:c r="N60" s="40" t="n">
        <x:f>'Returns'!$B$22-(M60-'Assumptions'!$B$7)*0.5-(N57-'Assumptions'!$B$7)*0.4</x:f>
        <x:v>0.1305</x:v>
      </x:c>
      <x:c r="O60" s="40" t="n">
        <x:f>'Returns'!$B$22-(M60-'Assumptions'!$B$7)*0.5-(O57-'Assumptions'!$B$7)*0.4</x:f>
        <x:v>0.1285</x:v>
      </x:c>
      <x:c r="P60" s="40" t="n">
        <x:f>'Returns'!$B$22-(M60-'Assumptions'!$B$7)*0.5-(P57-'Assumptions'!$B$7)*0.4</x:f>
        <x:v>0.1265</x:v>
      </x:c>
      <x:c r="Q60" s="40" t="n">
        <x:f>'Returns'!$B$22-(M60-'Assumptions'!$B$7)*0.5-(Q57-'Assumptions'!$B$7)*0.4</x:f>
        <x:v>0.1245</x:v>
      </x:c>
      <x:c r="R60" s="40" t="n">
        <x:f>'Returns'!$B$22-(M60-'Assumptions'!$B$7)*0.5-(R57-'Assumptions'!$B$7)*0.4</x:f>
        <x:v>0.1225</x:v>
      </x:c>
      <x:c r="S60" s="40" t="n">
        <x:f>'Returns'!$B$22-(M60-'Assumptions'!$B$7)*0.5-(S57-'Assumptions'!$B$7)*0.4</x:f>
        <x:v>0.1205</x:v>
      </x:c>
      <x:c r="T60" s="40" t="n">
        <x:f>'Returns'!$B$22-(M60-'Assumptions'!$B$7)*0.5-(T57-'Assumptions'!$B$7)*0.4</x:f>
        <x:v>0.1185</x:v>
      </x:c>
    </x:row>
    <x:row r="61" ht="15" hidden="0" customHeight="1">
      <x:c r="A61" s="39" t="n">
        <x:v>10</x:v>
      </x:c>
      <x:c r="B61" s="39" t="n">
        <x:f>'Returns'!$B$21*(1+(A61-'Assumptions'!$B$10)*0.16-(B57-'Assumptions'!$B$20)*0.08)</x:f>
        <x:v>0.07764295333463306</x:v>
      </x:c>
      <x:c r="C61" s="39" t="n">
        <x:f>'Returns'!$B$21*(1+(A61-'Assumptions'!$B$10)*0.16-(C57-'Assumptions'!$B$20)*0.08)</x:f>
        <x:v>0.07571632918240892</x:v>
      </x:c>
      <x:c r="D61" s="39" t="n">
        <x:f>'Returns'!$B$21*(1+(A61-'Assumptions'!$B$10)*0.16-(D57-'Assumptions'!$B$20)*0.08)</x:f>
        <x:v>0.07378970503018478</x:v>
      </x:c>
      <x:c r="E61" s="39" t="n">
        <x:f>'Returns'!$B$21*(1+(A61-'Assumptions'!$B$10)*0.16-(E57-'Assumptions'!$B$20)*0.08)</x:f>
        <x:v>0.07186308087796063</x:v>
      </x:c>
      <x:c r="F61" s="39" t="n">
        <x:f>'Returns'!$B$21*(1+(A61-'Assumptions'!$B$10)*0.16-(F57-'Assumptions'!$B$20)*0.08)</x:f>
        <x:v>0.06993645672573648</x:v>
      </x:c>
      <x:c r="G61" s="39" t="n">
        <x:f>'Returns'!$B$21*(1+(A61-'Assumptions'!$B$10)*0.16-(G57-'Assumptions'!$B$20)*0.08)</x:f>
        <x:v>0.06800983257351234</x:v>
      </x:c>
      <x:c r="H61" s="39" t="n">
        <x:f>'Returns'!$B$21*(1+(A61-'Assumptions'!$B$10)*0.16-(H57-'Assumptions'!$B$20)*0.08)</x:f>
        <x:v>0.06608320842128819</x:v>
      </x:c>
      <x:c r="M61" s="40" t="n">
        <x:v>0.025</x:v>
      </x:c>
      <x:c r="N61" s="40" t="n">
        <x:f>'Returns'!$B$22-(M61-'Assumptions'!$B$7)*0.5-(N57-'Assumptions'!$B$7)*0.4</x:f>
        <x:v>0.128</x:v>
      </x:c>
      <x:c r="O61" s="40" t="n">
        <x:f>'Returns'!$B$22-(M61-'Assumptions'!$B$7)*0.5-(O57-'Assumptions'!$B$7)*0.4</x:f>
        <x:v>0.126</x:v>
      </x:c>
      <x:c r="P61" s="40" t="n">
        <x:f>'Returns'!$B$22-(M61-'Assumptions'!$B$7)*0.5-(P57-'Assumptions'!$B$7)*0.4</x:f>
        <x:v>0.124</x:v>
      </x:c>
      <x:c r="Q61" s="40" t="n">
        <x:f>'Returns'!$B$22-(M61-'Assumptions'!$B$7)*0.5-(Q57-'Assumptions'!$B$7)*0.4</x:f>
        <x:v>0.122</x:v>
      </x:c>
      <x:c r="R61" s="40" t="n">
        <x:f>'Returns'!$B$22-(M61-'Assumptions'!$B$7)*0.5-(R57-'Assumptions'!$B$7)*0.4</x:f>
        <x:v>0.12</x:v>
      </x:c>
      <x:c r="S61" s="40" t="n">
        <x:f>'Returns'!$B$22-(M61-'Assumptions'!$B$7)*0.5-(S57-'Assumptions'!$B$7)*0.4</x:f>
        <x:v>0.118</x:v>
      </x:c>
      <x:c r="T61" s="40" t="n">
        <x:f>'Returns'!$B$22-(M61-'Assumptions'!$B$7)*0.5-(T57-'Assumptions'!$B$7)*0.4</x:f>
        <x:v>0.11599999999999999</x:v>
      </x:c>
    </x:row>
    <x:row r="62" ht="15" hidden="0" customHeight="1">
      <x:c r="A62" s="39" t="n">
        <x:v>10.5</x:v>
      </x:c>
      <x:c r="B62" s="39" t="n">
        <x:f>'Returns'!$B$21*(1+(A62-'Assumptions'!$B$10)*0.16-(B57-'Assumptions'!$B$20)*0.08)</x:f>
        <x:v>0.08534944994352965</x:v>
      </x:c>
      <x:c r="C62" s="39" t="n">
        <x:f>'Returns'!$B$21*(1+(A62-'Assumptions'!$B$10)*0.16-(C57-'Assumptions'!$B$20)*0.08)</x:f>
        <x:v>0.0834228257913055</x:v>
      </x:c>
      <x:c r="D62" s="39" t="n">
        <x:f>'Returns'!$B$21*(1+(A62-'Assumptions'!$B$10)*0.16-(D57-'Assumptions'!$B$20)*0.08)</x:f>
        <x:v>0.08149620163908136</x:v>
      </x:c>
      <x:c r="E62" s="39" t="n">
        <x:f>'Returns'!$B$21*(1+(A62-'Assumptions'!$B$10)*0.16-(E57-'Assumptions'!$B$20)*0.08)</x:f>
        <x:v>0.07956957748685722</x:v>
      </x:c>
      <x:c r="F62" s="39" t="n">
        <x:f>'Returns'!$B$21*(1+(A62-'Assumptions'!$B$10)*0.16-(F57-'Assumptions'!$B$20)*0.08)</x:f>
        <x:v>0.07764295333463307</x:v>
      </x:c>
      <x:c r="G62" s="39" t="n">
        <x:f>'Returns'!$B$21*(1+(A62-'Assumptions'!$B$10)*0.16-(G57-'Assumptions'!$B$20)*0.08)</x:f>
        <x:v>0.07571632918240892</x:v>
      </x:c>
      <x:c r="H62" s="39" t="n">
        <x:f>'Returns'!$B$21*(1+(A62-'Assumptions'!$B$10)*0.16-(H57-'Assumptions'!$B$20)*0.08)</x:f>
        <x:v>0.07378970503018478</x:v>
      </x:c>
      <x:c r="M62" s="40" t="n">
        <x:v>0.03</x:v>
      </x:c>
      <x:c r="N62" s="40" t="n">
        <x:f>'Returns'!$B$22-(M62-'Assumptions'!$B$7)*0.5-(N57-'Assumptions'!$B$7)*0.4</x:f>
        <x:v>0.1255</x:v>
      </x:c>
      <x:c r="O62" s="40" t="n">
        <x:f>'Returns'!$B$22-(M62-'Assumptions'!$B$7)*0.5-(O57-'Assumptions'!$B$7)*0.4</x:f>
        <x:v>0.1235</x:v>
      </x:c>
      <x:c r="P62" s="40" t="n">
        <x:f>'Returns'!$B$22-(M62-'Assumptions'!$B$7)*0.5-(P57-'Assumptions'!$B$7)*0.4</x:f>
        <x:v>0.1215</x:v>
      </x:c>
      <x:c r="Q62" s="40" t="n">
        <x:f>'Returns'!$B$22-(M62-'Assumptions'!$B$7)*0.5-(Q57-'Assumptions'!$B$7)*0.4</x:f>
        <x:v>0.1195</x:v>
      </x:c>
      <x:c r="R62" s="40" t="n">
        <x:f>'Returns'!$B$22-(M62-'Assumptions'!$B$7)*0.5-(R57-'Assumptions'!$B$7)*0.4</x:f>
        <x:v>0.1175</x:v>
      </x:c>
      <x:c r="S62" s="40" t="n">
        <x:f>'Returns'!$B$22-(M62-'Assumptions'!$B$7)*0.5-(S57-'Assumptions'!$B$7)*0.4</x:f>
        <x:v>0.11549999999999999</x:v>
      </x:c>
      <x:c r="T62" s="40" t="n">
        <x:f>'Returns'!$B$22-(M62-'Assumptions'!$B$7)*0.5-(T57-'Assumptions'!$B$7)*0.4</x:f>
        <x:v>0.11349999999999999</x:v>
      </x:c>
    </x:row>
    <x:row r="63" ht="15" hidden="0" customHeight="1">
      <x:c r="A63" s="39" t="n">
        <x:v>11</x:v>
      </x:c>
      <x:c r="B63" s="39" t="n">
        <x:f>'Returns'!$B$21*(1+(A63-'Assumptions'!$B$10)*0.16-(B57-'Assumptions'!$B$20)*0.08)</x:f>
        <x:v>0.09305594655242623</x:v>
      </x:c>
      <x:c r="C63" s="39" t="n">
        <x:f>'Returns'!$B$21*(1+(A63-'Assumptions'!$B$10)*0.16-(C57-'Assumptions'!$B$20)*0.08)</x:f>
        <x:v>0.09112932240020208</x:v>
      </x:c>
      <x:c r="D63" s="39" t="n">
        <x:f>'Returns'!$B$21*(1+(A63-'Assumptions'!$B$10)*0.16-(D57-'Assumptions'!$B$20)*0.08)</x:f>
        <x:v>0.08920269824797794</x:v>
      </x:c>
      <x:c r="E63" s="39" t="n">
        <x:f>'Returns'!$B$21*(1+(A63-'Assumptions'!$B$10)*0.16-(E57-'Assumptions'!$B$20)*0.08)</x:f>
        <x:v>0.0872760740957538</x:v>
      </x:c>
      <x:c r="F63" s="39" t="n">
        <x:f>'Returns'!$B$21*(1+(A63-'Assumptions'!$B$10)*0.16-(F57-'Assumptions'!$B$20)*0.08)</x:f>
        <x:v>0.08534944994352965</x:v>
      </x:c>
      <x:c r="G63" s="39" t="n">
        <x:f>'Returns'!$B$21*(1+(A63-'Assumptions'!$B$10)*0.16-(G57-'Assumptions'!$B$20)*0.08)</x:f>
        <x:v>0.0834228257913055</x:v>
      </x:c>
      <x:c r="H63" s="39" t="n">
        <x:f>'Returns'!$B$21*(1+(A63-'Assumptions'!$B$10)*0.16-(H57-'Assumptions'!$B$20)*0.08)</x:f>
        <x:v>0.08149620163908136</x:v>
      </x:c>
      <x:c r="M63" s="40" t="n">
        <x:v>0.035</x:v>
      </x:c>
      <x:c r="N63" s="40" t="n">
        <x:f>'Returns'!$B$22-(M63-'Assumptions'!$B$7)*0.5-(N57-'Assumptions'!$B$7)*0.4</x:f>
        <x:v>0.123</x:v>
      </x:c>
      <x:c r="O63" s="40" t="n">
        <x:f>'Returns'!$B$22-(M63-'Assumptions'!$B$7)*0.5-(O57-'Assumptions'!$B$7)*0.4</x:f>
        <x:v>0.121</x:v>
      </x:c>
      <x:c r="P63" s="40" t="n">
        <x:f>'Returns'!$B$22-(M63-'Assumptions'!$B$7)*0.5-(P57-'Assumptions'!$B$7)*0.4</x:f>
        <x:v>0.119</x:v>
      </x:c>
      <x:c r="Q63" s="40" t="n">
        <x:f>'Returns'!$B$22-(M63-'Assumptions'!$B$7)*0.5-(Q57-'Assumptions'!$B$7)*0.4</x:f>
        <x:v>0.11699999999999999</x:v>
      </x:c>
      <x:c r="R63" s="40" t="n">
        <x:f>'Returns'!$B$22-(M63-'Assumptions'!$B$7)*0.5-(R57-'Assumptions'!$B$7)*0.4</x:f>
        <x:v>0.11499999999999999</x:v>
      </x:c>
      <x:c r="S63" s="40" t="n">
        <x:f>'Returns'!$B$22-(M63-'Assumptions'!$B$7)*0.5-(S57-'Assumptions'!$B$7)*0.4</x:f>
        <x:v>0.11299999999999999</x:v>
      </x:c>
      <x:c r="T63" s="40" t="n">
        <x:f>'Returns'!$B$22-(M63-'Assumptions'!$B$7)*0.5-(T57-'Assumptions'!$B$7)*0.4</x:f>
        <x:v>0.11099999999999999</x:v>
      </x:c>
    </x:row>
    <x:row r="64" ht="15" hidden="0" customHeight="1">
      <x:c r="A64" s="39" t="n">
        <x:v>11.5</x:v>
      </x:c>
      <x:c r="B64" s="39" t="n">
        <x:f>'Returns'!$B$21*(1+(A64-'Assumptions'!$B$10)*0.16-(B57-'Assumptions'!$B$20)*0.08)</x:f>
        <x:v>0.10076244316132282</x:v>
      </x:c>
      <x:c r="C64" s="39" t="n">
        <x:f>'Returns'!$B$21*(1+(A64-'Assumptions'!$B$10)*0.16-(C57-'Assumptions'!$B$20)*0.08)</x:f>
        <x:v>0.09883581900909867</x:v>
      </x:c>
      <x:c r="D64" s="39" t="n">
        <x:f>'Returns'!$B$21*(1+(A64-'Assumptions'!$B$10)*0.16-(D57-'Assumptions'!$B$20)*0.08)</x:f>
        <x:v>0.09690919485687452</x:v>
      </x:c>
      <x:c r="E64" s="39" t="n">
        <x:f>'Returns'!$B$21*(1+(A64-'Assumptions'!$B$10)*0.16-(E57-'Assumptions'!$B$20)*0.08)</x:f>
        <x:v>0.09498257070465038</x:v>
      </x:c>
      <x:c r="F64" s="39" t="n">
        <x:f>'Returns'!$B$21*(1+(A64-'Assumptions'!$B$10)*0.16-(F57-'Assumptions'!$B$20)*0.08)</x:f>
        <x:v>0.09305594655242624</x:v>
      </x:c>
      <x:c r="G64" s="39" t="n">
        <x:f>'Returns'!$B$21*(1+(A64-'Assumptions'!$B$10)*0.16-(G57-'Assumptions'!$B$20)*0.08)</x:f>
        <x:v>0.09112932240020209</x:v>
      </x:c>
      <x:c r="H64" s="39" t="n">
        <x:f>'Returns'!$B$21*(1+(A64-'Assumptions'!$B$10)*0.16-(H57-'Assumptions'!$B$20)*0.08)</x:f>
        <x:v>0.08920269824797794</x:v>
      </x:c>
      <x:c r="M64" s="40" t="n">
        <x:v>0.04</x:v>
      </x:c>
      <x:c r="N64" s="40" t="n">
        <x:f>'Returns'!$B$22-(M64-'Assumptions'!$B$7)*0.5-(N57-'Assumptions'!$B$7)*0.4</x:f>
        <x:v>0.1205</x:v>
      </x:c>
      <x:c r="O64" s="40" t="n">
        <x:f>'Returns'!$B$22-(M64-'Assumptions'!$B$7)*0.5-(O57-'Assumptions'!$B$7)*0.4</x:f>
        <x:v>0.1185</x:v>
      </x:c>
      <x:c r="P64" s="40" t="n">
        <x:f>'Returns'!$B$22-(M64-'Assumptions'!$B$7)*0.5-(P57-'Assumptions'!$B$7)*0.4</x:f>
        <x:v>0.11649999999999999</x:v>
      </x:c>
      <x:c r="Q64" s="40" t="n">
        <x:f>'Returns'!$B$22-(M64-'Assumptions'!$B$7)*0.5-(Q57-'Assumptions'!$B$7)*0.4</x:f>
        <x:v>0.11449999999999999</x:v>
      </x:c>
      <x:c r="R64" s="40" t="n">
        <x:f>'Returns'!$B$22-(M64-'Assumptions'!$B$7)*0.5-(R57-'Assumptions'!$B$7)*0.4</x:f>
        <x:v>0.11249999999999999</x:v>
      </x:c>
      <x:c r="S64" s="40" t="n">
        <x:f>'Returns'!$B$22-(M64-'Assumptions'!$B$7)*0.5-(S57-'Assumptions'!$B$7)*0.4</x:f>
        <x:v>0.11049999999999999</x:v>
      </x:c>
      <x:c r="T64" s="40" t="n">
        <x:f>'Returns'!$B$22-(M64-'Assumptions'!$B$7)*0.5-(T57-'Assumptions'!$B$7)*0.4</x:f>
        <x:v>0.10849999999999999</x:v>
      </x:c>
    </x:row>
    <x:row r="65"/>
    <x:row r="66"/>
    <x:row r="67"/>
    <x:row r="68"/>
    <x:row r="69"/>
    <x:row r="70"/>
    <x:row r="71"/>
    <x:row r="72"/>
    <x:row r="73" ht="15" hidden="0" customHeight="1">
      <x:c r="A73" s="15" t="str">
        <x:v>9. Revenue CAGR x Exit Multiple</x:v>
      </x:c>
      <x:c r="B73" s="15"/>
      <x:c r="C73" s="15"/>
      <x:c r="D73" s="15"/>
      <x:c r="E73" s="15"/>
      <x:c r="F73" s="15"/>
      <x:c r="G73" s="15"/>
      <x:c r="H73" s="15"/>
      <x:c r="I73" s="15"/>
      <x:c r="M73" s="15" t="str">
        <x:v>10. EBITDA Margin x Senior Debt Multiple</x:v>
      </x:c>
      <x:c r="N73" s="15"/>
      <x:c r="O73" s="15"/>
      <x:c r="P73" s="15"/>
      <x:c r="Q73" s="15"/>
      <x:c r="R73" s="15"/>
      <x:c r="S73" s="15"/>
      <x:c r="T73" s="15"/>
      <x:c r="U73" s="15"/>
    </x:row>
    <x:row r="74" ht="15" hidden="0" customHeight="1">
      <x:c r="A74" s="39" t="str">
        <x:v>MOIC</x:v>
      </x:c>
      <x:c r="B74" s="39" t="n">
        <x:v>8.5</x:v>
      </x:c>
      <x:c r="C74" s="39" t="n">
        <x:v>9</x:v>
      </x:c>
      <x:c r="D74" s="39" t="n">
        <x:v>9.5</x:v>
      </x:c>
      <x:c r="E74" s="39" t="n">
        <x:v>10</x:v>
      </x:c>
      <x:c r="F74" s="39" t="n">
        <x:v>10.5</x:v>
      </x:c>
      <x:c r="G74" s="39" t="n">
        <x:v>11</x:v>
      </x:c>
      <x:c r="H74" s="39" t="n">
        <x:v>11.5</x:v>
      </x:c>
      <x:c r="M74" s="40" t="str">
        <x:v>IRR</x:v>
      </x:c>
      <x:c r="N74" s="40" t="n">
        <x:v>3.5</x:v>
      </x:c>
      <x:c r="O74" s="40" t="n">
        <x:v>4</x:v>
      </x:c>
      <x:c r="P74" s="40" t="n">
        <x:v>4.5</x:v>
      </x:c>
      <x:c r="Q74" s="40" t="n">
        <x:v>5</x:v>
      </x:c>
      <x:c r="R74" s="40" t="n">
        <x:v>5.5</x:v>
      </x:c>
      <x:c r="S74" s="40" t="n">
        <x:v>6</x:v>
      </x:c>
      <x:c r="T74" s="40" t="n">
        <x:v>6.5</x:v>
      </x:c>
    </x:row>
    <x:row r="75" ht="15" hidden="0" customHeight="1">
      <x:c r="A75" s="39" t="n">
        <x:v>0.02</x:v>
      </x:c>
      <x:c r="B75" s="39" t="n">
        <x:f>'Returns'!$B$21*(1+(A75-'Assumptions'!$B$11)*3.5+(B74-'Assumptions'!$B$10)*0.12)</x:f>
        <x:v>0.05394547626227608</x:v>
      </x:c>
      <x:c r="C75" s="39" t="n">
        <x:f>'Returns'!$B$21*(1+(A75-'Assumptions'!$B$11)*3.5+(C74-'Assumptions'!$B$10)*0.12)</x:f>
        <x:v>0.059725348718948516</x:v>
      </x:c>
      <x:c r="D75" s="39" t="n">
        <x:f>'Returns'!$B$21*(1+(A75-'Assumptions'!$B$11)*3.5+(D74-'Assumptions'!$B$10)*0.12)</x:f>
        <x:v>0.06550522117562095</x:v>
      </x:c>
      <x:c r="E75" s="39" t="n">
        <x:f>'Returns'!$B$21*(1+(A75-'Assumptions'!$B$11)*3.5+(E74-'Assumptions'!$B$10)*0.12)</x:f>
        <x:v>0.07128509363229339</x:v>
      </x:c>
      <x:c r="F75" s="39" t="n">
        <x:f>'Returns'!$B$21*(1+(A75-'Assumptions'!$B$11)*3.5+(F74-'Assumptions'!$B$10)*0.12)</x:f>
        <x:v>0.07706496608896583</x:v>
      </x:c>
      <x:c r="G75" s="39" t="n">
        <x:f>'Returns'!$B$21*(1+(A75-'Assumptions'!$B$11)*3.5+(G74-'Assumptions'!$B$10)*0.12)</x:f>
        <x:v>0.08284483854563826</x:v>
      </x:c>
      <x:c r="H75" s="39" t="n">
        <x:f>'Returns'!$B$21*(1+(A75-'Assumptions'!$B$11)*3.5+(H74-'Assumptions'!$B$10)*0.12)</x:f>
        <x:v>0.08862471100231069</x:v>
      </x:c>
      <x:c r="M75" s="40" t="n">
        <x:v>0.24</x:v>
      </x:c>
      <x:c r="N75" s="40" t="n">
        <x:f>'Returns'!$B$22+(M75-'Assumptions'!$B$12)*1.5-(N74-'Assumptions'!$B$19)*0.01</x:f>
        <x:v>0.43749999999999994</x:v>
      </x:c>
      <x:c r="O75" s="40" t="n">
        <x:f>'Returns'!$B$22+(M75-'Assumptions'!$B$12)*1.5-(O74-'Assumptions'!$B$19)*0.01</x:f>
        <x:v>0.43249999999999994</x:v>
      </x:c>
      <x:c r="P75" s="40" t="n">
        <x:f>'Returns'!$B$22+(M75-'Assumptions'!$B$12)*1.5-(P74-'Assumptions'!$B$19)*0.01</x:f>
        <x:v>0.4275</x:v>
      </x:c>
      <x:c r="Q75" s="40" t="n">
        <x:f>'Returns'!$B$22+(M75-'Assumptions'!$B$12)*1.5-(Q74-'Assumptions'!$B$19)*0.01</x:f>
        <x:v>0.4225</x:v>
      </x:c>
      <x:c r="R75" s="40" t="n">
        <x:f>'Returns'!$B$22+(M75-'Assumptions'!$B$12)*1.5-(R74-'Assumptions'!$B$19)*0.01</x:f>
        <x:v>0.4175</x:v>
      </x:c>
      <x:c r="S75" s="40" t="n">
        <x:f>'Returns'!$B$22+(M75-'Assumptions'!$B$12)*1.5-(S74-'Assumptions'!$B$19)*0.01</x:f>
        <x:v>0.4125</x:v>
      </x:c>
      <x:c r="T75" s="40" t="n">
        <x:f>'Returns'!$B$22+(M75-'Assumptions'!$B$12)*1.5-(T74-'Assumptions'!$B$19)*0.01</x:f>
        <x:v>0.4075</x:v>
      </x:c>
    </x:row>
    <x:row r="76" ht="15" hidden="0" customHeight="1">
      <x:c r="A76" s="39" t="n">
        <x:v>0.03</x:v>
      </x:c>
      <x:c r="B76" s="39" t="n">
        <x:f>'Returns'!$B$21*(1+(A76-'Assumptions'!$B$11)*3.5+(B74-'Assumptions'!$B$10)*0.12)</x:f>
        <x:v>0.05731706852866833</x:v>
      </x:c>
      <x:c r="C76" s="39" t="n">
        <x:f>'Returns'!$B$21*(1+(A76-'Assumptions'!$B$11)*3.5+(C74-'Assumptions'!$B$10)*0.12)</x:f>
        <x:v>0.06309694098534077</x:v>
      </x:c>
      <x:c r="D76" s="39" t="n">
        <x:f>'Returns'!$B$21*(1+(A76-'Assumptions'!$B$11)*3.5+(D74-'Assumptions'!$B$10)*0.12)</x:f>
        <x:v>0.06887681344201321</x:v>
      </x:c>
      <x:c r="E76" s="39" t="n">
        <x:f>'Returns'!$B$21*(1+(A76-'Assumptions'!$B$11)*3.5+(E74-'Assumptions'!$B$10)*0.12)</x:f>
        <x:v>0.07465668589868564</x:v>
      </x:c>
      <x:c r="F76" s="39" t="n">
        <x:f>'Returns'!$B$21*(1+(A76-'Assumptions'!$B$11)*3.5+(F74-'Assumptions'!$B$10)*0.12)</x:f>
        <x:v>0.08043655835535808</x:v>
      </x:c>
      <x:c r="G76" s="39" t="n">
        <x:f>'Returns'!$B$21*(1+(A76-'Assumptions'!$B$11)*3.5+(G74-'Assumptions'!$B$10)*0.12)</x:f>
        <x:v>0.08621643081203052</x:v>
      </x:c>
      <x:c r="H76" s="39" t="n">
        <x:f>'Returns'!$B$21*(1+(A76-'Assumptions'!$B$11)*3.5+(H74-'Assumptions'!$B$10)*0.12)</x:f>
        <x:v>0.09199630326870296</x:v>
      </x:c>
      <x:c r="M76" s="40" t="n">
        <x:v>0.26</x:v>
      </x:c>
      <x:c r="N76" s="40" t="n">
        <x:f>'Returns'!$B$22+(M76-'Assumptions'!$B$12)*1.5-(N74-'Assumptions'!$B$19)*0.01</x:f>
        <x:v>0.46749999999999997</x:v>
      </x:c>
      <x:c r="O76" s="40" t="n">
        <x:f>'Returns'!$B$22+(M76-'Assumptions'!$B$12)*1.5-(O74-'Assumptions'!$B$19)*0.01</x:f>
        <x:v>0.46249999999999997</x:v>
      </x:c>
      <x:c r="P76" s="40" t="n">
        <x:f>'Returns'!$B$22+(M76-'Assumptions'!$B$12)*1.5-(P74-'Assumptions'!$B$19)*0.01</x:f>
        <x:v>0.4575</x:v>
      </x:c>
      <x:c r="Q76" s="40" t="n">
        <x:f>'Returns'!$B$22+(M76-'Assumptions'!$B$12)*1.5-(Q74-'Assumptions'!$B$19)*0.01</x:f>
        <x:v>0.4525</x:v>
      </x:c>
      <x:c r="R76" s="40" t="n">
        <x:f>'Returns'!$B$22+(M76-'Assumptions'!$B$12)*1.5-(R74-'Assumptions'!$B$19)*0.01</x:f>
        <x:v>0.4475</x:v>
      </x:c>
      <x:c r="S76" s="40" t="n">
        <x:f>'Returns'!$B$22+(M76-'Assumptions'!$B$12)*1.5-(S74-'Assumptions'!$B$19)*0.01</x:f>
        <x:v>0.4425</x:v>
      </x:c>
      <x:c r="T76" s="40" t="n">
        <x:f>'Returns'!$B$22+(M76-'Assumptions'!$B$12)*1.5-(T74-'Assumptions'!$B$19)*0.01</x:f>
        <x:v>0.4375</x:v>
      </x:c>
    </x:row>
    <x:row r="77" ht="15" hidden="0" customHeight="1">
      <x:c r="A77" s="39" t="n">
        <x:v>0.04</x:v>
      </x:c>
      <x:c r="B77" s="39" t="n">
        <x:f>'Returns'!$B$21*(1+(A77-'Assumptions'!$B$11)*3.5+(B74-'Assumptions'!$B$10)*0.12)</x:f>
        <x:v>0.0606886607950606</x:v>
      </x:c>
      <x:c r="C77" s="39" t="n">
        <x:f>'Returns'!$B$21*(1+(A77-'Assumptions'!$B$11)*3.5+(C74-'Assumptions'!$B$10)*0.12)</x:f>
        <x:v>0.06646853325173303</x:v>
      </x:c>
      <x:c r="D77" s="39" t="n">
        <x:f>'Returns'!$B$21*(1+(A77-'Assumptions'!$B$11)*3.5+(D74-'Assumptions'!$B$10)*0.12)</x:f>
        <x:v>0.07224840570840546</x:v>
      </x:c>
      <x:c r="E77" s="39" t="n">
        <x:f>'Returns'!$B$21*(1+(A77-'Assumptions'!$B$11)*3.5+(E74-'Assumptions'!$B$10)*0.12)</x:f>
        <x:v>0.0780282781650779</x:v>
      </x:c>
      <x:c r="F77" s="39" t="n">
        <x:f>'Returns'!$B$21*(1+(A77-'Assumptions'!$B$11)*3.5+(F74-'Assumptions'!$B$10)*0.12)</x:f>
        <x:v>0.08380815062175034</x:v>
      </x:c>
      <x:c r="G77" s="39" t="n">
        <x:f>'Returns'!$B$21*(1+(A77-'Assumptions'!$B$11)*3.5+(G74-'Assumptions'!$B$10)*0.12)</x:f>
        <x:v>0.08958802307842277</x:v>
      </x:c>
      <x:c r="H77" s="39" t="n">
        <x:f>'Returns'!$B$21*(1+(A77-'Assumptions'!$B$11)*3.5+(H74-'Assumptions'!$B$10)*0.12)</x:f>
        <x:v>0.09536789553509521</x:v>
      </x:c>
      <x:c r="M77" s="40" t="n">
        <x:v>0.27999999999999997</x:v>
      </x:c>
      <x:c r="N77" s="40" t="n">
        <x:f>'Returns'!$B$22+(M77-'Assumptions'!$B$12)*1.5-(N74-'Assumptions'!$B$19)*0.01</x:f>
        <x:v>0.49749999999999994</x:v>
      </x:c>
      <x:c r="O77" s="40" t="n">
        <x:f>'Returns'!$B$22+(M77-'Assumptions'!$B$12)*1.5-(O74-'Assumptions'!$B$19)*0.01</x:f>
        <x:v>0.49249999999999994</x:v>
      </x:c>
      <x:c r="P77" s="40" t="n">
        <x:f>'Returns'!$B$22+(M77-'Assumptions'!$B$12)*1.5-(P74-'Assumptions'!$B$19)*0.01</x:f>
        <x:v>0.48749999999999993</x:v>
      </x:c>
      <x:c r="Q77" s="40" t="n">
        <x:f>'Returns'!$B$22+(M77-'Assumptions'!$B$12)*1.5-(Q74-'Assumptions'!$B$19)*0.01</x:f>
        <x:v>0.48249999999999993</x:v>
      </x:c>
      <x:c r="R77" s="40" t="n">
        <x:f>'Returns'!$B$22+(M77-'Assumptions'!$B$12)*1.5-(R74-'Assumptions'!$B$19)*0.01</x:f>
        <x:v>0.4775</x:v>
      </x:c>
      <x:c r="S77" s="40" t="n">
        <x:f>'Returns'!$B$22+(M77-'Assumptions'!$B$12)*1.5-(S74-'Assumptions'!$B$19)*0.01</x:f>
        <x:v>0.4725</x:v>
      </x:c>
      <x:c r="T77" s="40" t="n">
        <x:f>'Returns'!$B$22+(M77-'Assumptions'!$B$12)*1.5-(T74-'Assumptions'!$B$19)*0.01</x:f>
        <x:v>0.46749999999999997</x:v>
      </x:c>
    </x:row>
    <x:row r="78" ht="15" hidden="0" customHeight="1">
      <x:c r="A78" s="39" t="n">
        <x:v>0.05</x:v>
      </x:c>
      <x:c r="B78" s="39" t="n">
        <x:f>'Returns'!$B$21*(1+(A78-'Assumptions'!$B$11)*3.5+(B74-'Assumptions'!$B$10)*0.12)</x:f>
        <x:v>0.06406025306145284</x:v>
      </x:c>
      <x:c r="C78" s="39" t="n">
        <x:f>'Returns'!$B$21*(1+(A78-'Assumptions'!$B$11)*3.5+(C74-'Assumptions'!$B$10)*0.12)</x:f>
        <x:v>0.06984012551812528</x:v>
      </x:c>
      <x:c r="D78" s="39" t="n">
        <x:f>'Returns'!$B$21*(1+(A78-'Assumptions'!$B$11)*3.5+(D74-'Assumptions'!$B$10)*0.12)</x:f>
        <x:v>0.07561999797479771</x:v>
      </x:c>
      <x:c r="E78" s="39" t="n">
        <x:f>'Returns'!$B$21*(1+(A78-'Assumptions'!$B$11)*3.5+(E74-'Assumptions'!$B$10)*0.12)</x:f>
        <x:v>0.08139987043147015</x:v>
      </x:c>
      <x:c r="F78" s="39" t="n">
        <x:f>'Returns'!$B$21*(1+(A78-'Assumptions'!$B$11)*3.5+(F74-'Assumptions'!$B$10)*0.12)</x:f>
        <x:v>0.08717974288814259</x:v>
      </x:c>
      <x:c r="G78" s="39" t="n">
        <x:f>'Returns'!$B$21*(1+(A78-'Assumptions'!$B$11)*3.5+(G74-'Assumptions'!$B$10)*0.12)</x:f>
        <x:v>0.09295961534481502</x:v>
      </x:c>
      <x:c r="H78" s="39" t="n">
        <x:f>'Returns'!$B$21*(1+(A78-'Assumptions'!$B$11)*3.5+(H74-'Assumptions'!$B$10)*0.12)</x:f>
        <x:v>0.09873948780148746</x:v>
      </x:c>
      <x:c r="M78" s="40" t="n">
        <x:v>0.3</x:v>
      </x:c>
      <x:c r="N78" s="40" t="n">
        <x:f>'Returns'!$B$22+(M78-'Assumptions'!$B$12)*1.5-(N74-'Assumptions'!$B$19)*0.01</x:f>
        <x:v>0.5275</x:v>
      </x:c>
      <x:c r="O78" s="40" t="n">
        <x:f>'Returns'!$B$22+(M78-'Assumptions'!$B$12)*1.5-(O74-'Assumptions'!$B$19)*0.01</x:f>
        <x:v>0.5225</x:v>
      </x:c>
      <x:c r="P78" s="40" t="n">
        <x:f>'Returns'!$B$22+(M78-'Assumptions'!$B$12)*1.5-(P74-'Assumptions'!$B$19)*0.01</x:f>
        <x:v>0.5175</x:v>
      </x:c>
      <x:c r="Q78" s="40" t="n">
        <x:f>'Returns'!$B$22+(M78-'Assumptions'!$B$12)*1.5-(Q74-'Assumptions'!$B$19)*0.01</x:f>
        <x:v>0.5125</x:v>
      </x:c>
      <x:c r="R78" s="40" t="n">
        <x:f>'Returns'!$B$22+(M78-'Assumptions'!$B$12)*1.5-(R74-'Assumptions'!$B$19)*0.01</x:f>
        <x:v>0.5075</x:v>
      </x:c>
      <x:c r="S78" s="40" t="n">
        <x:f>'Returns'!$B$22+(M78-'Assumptions'!$B$12)*1.5-(S74-'Assumptions'!$B$19)*0.01</x:f>
        <x:v>0.5025</x:v>
      </x:c>
      <x:c r="T78" s="40" t="n">
        <x:f>'Returns'!$B$22+(M78-'Assumptions'!$B$12)*1.5-(T74-'Assumptions'!$B$19)*0.01</x:f>
        <x:v>0.4975</x:v>
      </x:c>
    </x:row>
    <x:row r="79" ht="15" hidden="0" customHeight="1">
      <x:c r="A79" s="39" t="n">
        <x:v>0.06</x:v>
      </x:c>
      <x:c r="B79" s="39" t="n">
        <x:f>'Returns'!$B$21*(1+(A79-'Assumptions'!$B$11)*3.5+(B74-'Assumptions'!$B$10)*0.12)</x:f>
        <x:v>0.06743184532784509</x:v>
      </x:c>
      <x:c r="C79" s="39" t="n">
        <x:f>'Returns'!$B$21*(1+(A79-'Assumptions'!$B$11)*3.5+(C74-'Assumptions'!$B$10)*0.12)</x:f>
        <x:v>0.07321171778451753</x:v>
      </x:c>
      <x:c r="D79" s="39" t="n">
        <x:f>'Returns'!$B$21*(1+(A79-'Assumptions'!$B$11)*3.5+(D74-'Assumptions'!$B$10)*0.12)</x:f>
        <x:v>0.07899159024118997</x:v>
      </x:c>
      <x:c r="E79" s="39" t="n">
        <x:f>'Returns'!$B$21*(1+(A79-'Assumptions'!$B$11)*3.5+(E74-'Assumptions'!$B$10)*0.12)</x:f>
        <x:v>0.08477146269786241</x:v>
      </x:c>
      <x:c r="F79" s="39" t="n">
        <x:f>'Returns'!$B$21*(1+(A79-'Assumptions'!$B$11)*3.5+(F74-'Assumptions'!$B$10)*0.12)</x:f>
        <x:v>0.09055133515453484</x:v>
      </x:c>
      <x:c r="G79" s="39" t="n">
        <x:f>'Returns'!$B$21*(1+(A79-'Assumptions'!$B$11)*3.5+(G74-'Assumptions'!$B$10)*0.12)</x:f>
        <x:v>0.09633120761120728</x:v>
      </x:c>
      <x:c r="H79" s="39" t="n">
        <x:f>'Returns'!$B$21*(1+(A79-'Assumptions'!$B$11)*3.5+(H74-'Assumptions'!$B$10)*0.12)</x:f>
        <x:v>0.10211108006787972</x:v>
      </x:c>
      <x:c r="M79" s="40" t="n">
        <x:v>0.32</x:v>
      </x:c>
      <x:c r="N79" s="40" t="n">
        <x:f>'Returns'!$B$22+(M79-'Assumptions'!$B$12)*1.5-(N74-'Assumptions'!$B$19)*0.01</x:f>
        <x:v>0.5575</x:v>
      </x:c>
      <x:c r="O79" s="40" t="n">
        <x:f>'Returns'!$B$22+(M79-'Assumptions'!$B$12)*1.5-(O74-'Assumptions'!$B$19)*0.01</x:f>
        <x:v>0.5525</x:v>
      </x:c>
      <x:c r="P79" s="40" t="n">
        <x:f>'Returns'!$B$22+(M79-'Assumptions'!$B$12)*1.5-(P74-'Assumptions'!$B$19)*0.01</x:f>
        <x:v>0.5475</x:v>
      </x:c>
      <x:c r="Q79" s="40" t="n">
        <x:f>'Returns'!$B$22+(M79-'Assumptions'!$B$12)*1.5-(Q74-'Assumptions'!$B$19)*0.01</x:f>
        <x:v>0.5425</x:v>
      </x:c>
      <x:c r="R79" s="40" t="n">
        <x:f>'Returns'!$B$22+(M79-'Assumptions'!$B$12)*1.5-(R74-'Assumptions'!$B$19)*0.01</x:f>
        <x:v>0.5375</x:v>
      </x:c>
      <x:c r="S79" s="40" t="n">
        <x:f>'Returns'!$B$22+(M79-'Assumptions'!$B$12)*1.5-(S74-'Assumptions'!$B$19)*0.01</x:f>
        <x:v>0.5325</x:v>
      </x:c>
      <x:c r="T79" s="40" t="n">
        <x:f>'Returns'!$B$22+(M79-'Assumptions'!$B$12)*1.5-(T74-'Assumptions'!$B$19)*0.01</x:f>
        <x:v>0.5275</x:v>
      </x:c>
    </x:row>
    <x:row r="80" ht="15" hidden="0" customHeight="1">
      <x:c r="A80" s="39" t="n">
        <x:v>0.07</x:v>
      </x:c>
      <x:c r="B80" s="39" t="n">
        <x:f>'Returns'!$B$21*(1+(A80-'Assumptions'!$B$11)*3.5+(B74-'Assumptions'!$B$10)*0.12)</x:f>
        <x:v>0.07080343759423736</x:v>
      </x:c>
      <x:c r="C80" s="39" t="n">
        <x:f>'Returns'!$B$21*(1+(A80-'Assumptions'!$B$11)*3.5+(C74-'Assumptions'!$B$10)*0.12)</x:f>
        <x:v>0.0765833100509098</x:v>
      </x:c>
      <x:c r="D80" s="39" t="n">
        <x:f>'Returns'!$B$21*(1+(A80-'Assumptions'!$B$11)*3.5+(D74-'Assumptions'!$B$10)*0.12)</x:f>
        <x:v>0.08236318250758225</x:v>
      </x:c>
      <x:c r="E80" s="39" t="n">
        <x:f>'Returns'!$B$21*(1+(A80-'Assumptions'!$B$11)*3.5+(E74-'Assumptions'!$B$10)*0.12)</x:f>
        <x:v>0.08814305496425467</x:v>
      </x:c>
      <x:c r="F80" s="39" t="n">
        <x:f>'Returns'!$B$21*(1+(A80-'Assumptions'!$B$11)*3.5+(F74-'Assumptions'!$B$10)*0.12)</x:f>
        <x:v>0.0939229274209271</x:v>
      </x:c>
      <x:c r="G80" s="39" t="n">
        <x:f>'Returns'!$B$21*(1+(A80-'Assumptions'!$B$11)*3.5+(G74-'Assumptions'!$B$10)*0.12)</x:f>
        <x:v>0.09970279987759954</x:v>
      </x:c>
      <x:c r="H80" s="39" t="n">
        <x:f>'Returns'!$B$21*(1+(A80-'Assumptions'!$B$11)*3.5+(H74-'Assumptions'!$B$10)*0.12)</x:f>
        <x:v>0.105482672334272</x:v>
      </x:c>
      <x:c r="M80" s="40" t="n">
        <x:v>0.33999999999999997</x:v>
      </x:c>
      <x:c r="N80" s="40" t="n">
        <x:f>'Returns'!$B$22+(M80-'Assumptions'!$B$12)*1.5-(N74-'Assumptions'!$B$19)*0.01</x:f>
        <x:v>0.5874999999999999</x:v>
      </x:c>
      <x:c r="O80" s="40" t="n">
        <x:f>'Returns'!$B$22+(M80-'Assumptions'!$B$12)*1.5-(O74-'Assumptions'!$B$19)*0.01</x:f>
        <x:v>0.5824999999999999</x:v>
      </x:c>
      <x:c r="P80" s="40" t="n">
        <x:f>'Returns'!$B$22+(M80-'Assumptions'!$B$12)*1.5-(P74-'Assumptions'!$B$19)*0.01</x:f>
        <x:v>0.5774999999999999</x:v>
      </x:c>
      <x:c r="Q80" s="40" t="n">
        <x:f>'Returns'!$B$22+(M80-'Assumptions'!$B$12)*1.5-(Q74-'Assumptions'!$B$19)*0.01</x:f>
        <x:v>0.5724999999999999</x:v>
      </x:c>
      <x:c r="R80" s="40" t="n">
        <x:f>'Returns'!$B$22+(M80-'Assumptions'!$B$12)*1.5-(R74-'Assumptions'!$B$19)*0.01</x:f>
        <x:v>0.5674999999999999</x:v>
      </x:c>
      <x:c r="S80" s="40" t="n">
        <x:f>'Returns'!$B$22+(M80-'Assumptions'!$B$12)*1.5-(S74-'Assumptions'!$B$19)*0.01</x:f>
        <x:v>0.5624999999999999</x:v>
      </x:c>
      <x:c r="T80" s="40" t="n">
        <x:f>'Returns'!$B$22+(M80-'Assumptions'!$B$12)*1.5-(T74-'Assumptions'!$B$19)*0.01</x:f>
        <x:v>0.5574999999999999</x:v>
      </x:c>
    </x:row>
    <x:row r="81" ht="15" hidden="0" customHeight="1">
      <x:c r="A81" s="39" t="n">
        <x:v>0.08</x:v>
      </x:c>
      <x:c r="B81" s="39" t="n">
        <x:f>'Returns'!$B$21*(1+(A81-'Assumptions'!$B$11)*3.5+(B74-'Assumptions'!$B$10)*0.12)</x:f>
        <x:v>0.07417502986062961</x:v>
      </x:c>
      <x:c r="C81" s="39" t="n">
        <x:f>'Returns'!$B$21*(1+(A81-'Assumptions'!$B$11)*3.5+(C74-'Assumptions'!$B$10)*0.12)</x:f>
        <x:v>0.07995490231730205</x:v>
      </x:c>
      <x:c r="D81" s="39" t="n">
        <x:f>'Returns'!$B$21*(1+(A81-'Assumptions'!$B$11)*3.5+(D74-'Assumptions'!$B$10)*0.12)</x:f>
        <x:v>0.0857347747739745</x:v>
      </x:c>
      <x:c r="E81" s="39" t="n">
        <x:f>'Returns'!$B$21*(1+(A81-'Assumptions'!$B$11)*3.5+(E74-'Assumptions'!$B$10)*0.12)</x:f>
        <x:v>0.09151464723064692</x:v>
      </x:c>
      <x:c r="F81" s="39" t="n">
        <x:f>'Returns'!$B$21*(1+(A81-'Assumptions'!$B$11)*3.5+(F74-'Assumptions'!$B$10)*0.12)</x:f>
        <x:v>0.09729451968731935</x:v>
      </x:c>
      <x:c r="G81" s="39" t="n">
        <x:f>'Returns'!$B$21*(1+(A81-'Assumptions'!$B$11)*3.5+(G74-'Assumptions'!$B$10)*0.12)</x:f>
        <x:v>0.10307439214399179</x:v>
      </x:c>
      <x:c r="H81" s="39" t="n">
        <x:f>'Returns'!$B$21*(1+(A81-'Assumptions'!$B$11)*3.5+(H74-'Assumptions'!$B$10)*0.12)</x:f>
        <x:v>0.10885426460066423</x:v>
      </x:c>
      <x:c r="M81" s="40" t="n">
        <x:v>0.36</x:v>
      </x:c>
      <x:c r="N81" s="40" t="n">
        <x:f>'Returns'!$B$22+(M81-'Assumptions'!$B$12)*1.5-(N74-'Assumptions'!$B$19)*0.01</x:f>
        <x:v>0.6174999999999999</x:v>
      </x:c>
      <x:c r="O81" s="40" t="n">
        <x:f>'Returns'!$B$22+(M81-'Assumptions'!$B$12)*1.5-(O74-'Assumptions'!$B$19)*0.01</x:f>
        <x:v>0.6124999999999999</x:v>
      </x:c>
      <x:c r="P81" s="40" t="n">
        <x:f>'Returns'!$B$22+(M81-'Assumptions'!$B$12)*1.5-(P74-'Assumptions'!$B$19)*0.01</x:f>
        <x:v>0.6074999999999999</x:v>
      </x:c>
      <x:c r="Q81" s="40" t="n">
        <x:f>'Returns'!$B$22+(M81-'Assumptions'!$B$12)*1.5-(Q74-'Assumptions'!$B$19)*0.01</x:f>
        <x:v>0.6024999999999999</x:v>
      </x:c>
      <x:c r="R81" s="40" t="n">
        <x:f>'Returns'!$B$22+(M81-'Assumptions'!$B$12)*1.5-(R74-'Assumptions'!$B$19)*0.01</x:f>
        <x:v>0.5974999999999999</x:v>
      </x:c>
      <x:c r="S81" s="40" t="n">
        <x:f>'Returns'!$B$22+(M81-'Assumptions'!$B$12)*1.5-(S74-'Assumptions'!$B$19)*0.01</x:f>
        <x:v>0.5924999999999999</x:v>
      </x:c>
      <x:c r="T81" s="40" t="n">
        <x:f>'Returns'!$B$22+(M81-'Assumptions'!$B$12)*1.5-(T74-'Assumptions'!$B$19)*0.01</x:f>
        <x:v>0.5874999999999999</x:v>
      </x:c>
    </x:row>
  </x:sheetData>
  <x:mergeCells>
    <x:mergeCell ref="A1:H1"/>
    <x:mergeCell ref="A5:I5"/>
    <x:mergeCell ref="M5:U5"/>
    <x:mergeCell ref="A22:I22"/>
    <x:mergeCell ref="M22:U22"/>
    <x:mergeCell ref="A39:I39"/>
    <x:mergeCell ref="M39:U39"/>
    <x:mergeCell ref="A56:I56"/>
    <x:mergeCell ref="M56:U56"/>
    <x:mergeCell ref="A73:I73"/>
    <x:mergeCell ref="M73:U7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3" hidden="0" customWidth="1"/>
    <x:col min="3" max="3" width="18.780000686645508" hidden="0" customWidth="1"/>
    <x:col min="4" max="4" width="16.440000534057617" hidden="0" customWidth="1"/>
    <x:col min="5" max="5" width="19.670000076293945" hidden="0" customWidth="1"/>
    <x:col min="6" max="6" width="10.5600004196167" hidden="0" customWidth="1"/>
  </x:cols>
  <x:sheetData>
    <x:row r="1" ht="19.200000762939453" hidden="0" customHeight="1">
      <x:c r="A1" s="6" t="str">
        <x:v>Data Table Specs</x:v>
      </x:c>
      <x:c r="B1" s="6"/>
      <x:c r="C1" s="6"/>
      <x:c r="D1" s="6"/>
      <x:c r="E1" s="6"/>
      <x:c r="F1" s="6"/>
      <x:c r="G1" s="6"/>
      <x:c r="H1" s="6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/>
    <x:row r="3" ht="15" hidden="0" customHeight="1">
      <x:c r="A3" s="20" t="str">
        <x:v>Table</x:v>
      </x:c>
      <x:c r="B3" s="21" t="str">
        <x:v>Sheet</x:v>
      </x:c>
      <x:c r="C3" s="21" t="str">
        <x:v>Range</x:v>
      </x:c>
      <x:c r="D3" s="21" t="str">
        <x:v>Row Driver</x:v>
      </x:c>
      <x:c r="E3" s="21" t="str">
        <x:v>Column Driver</x:v>
      </x:c>
      <x:c r="F3" s="22" t="str">
        <x:v>Output Metric</x:v>
      </x:c>
    </x:row>
    <x:row r="4" ht="15" hidden="0" customHeight="1">
      <x:c r="A4" s="38" t="n">
        <x:v>1</x:v>
      </x:c>
      <x:c r="B4" s="38" t="str">
        <x:v>Sensitivity Tables</x:v>
      </x:c>
      <x:c r="C4" s="38" t="str">
        <x:v>See generated grid block</x:v>
      </x:c>
      <x:c r="D4" s="38" t="str">
        <x:v>Exit Multiple</x:v>
      </x:c>
      <x:c r="E4" s="38" t="str">
        <x:v>Purchase Multiple</x:v>
      </x:c>
      <x:c r="F4" s="38" t="str">
        <x:v>MOIC</x:v>
      </x:c>
    </x:row>
    <x:row r="5" ht="15" hidden="0" customHeight="1">
      <x:c r="A5" s="38" t="n">
        <x:v>2</x:v>
      </x:c>
      <x:c r="B5" s="38" t="str">
        <x:v>Sensitivity Tables</x:v>
      </x:c>
      <x:c r="C5" s="38" t="str">
        <x:v>See generated grid block</x:v>
      </x:c>
      <x:c r="D5" s="38" t="str">
        <x:v>Exit Multiple</x:v>
      </x:c>
      <x:c r="E5" s="38" t="str">
        <x:v>Leverage</x:v>
      </x:c>
      <x:c r="F5" s="38" t="str">
        <x:v>IRR</x:v>
      </x:c>
    </x:row>
    <x:row r="6" ht="15" hidden="0" customHeight="1">
      <x:c r="A6" s="38" t="n">
        <x:v>3</x:v>
      </x:c>
      <x:c r="B6" s="38" t="str">
        <x:v>Sensitivity Tables</x:v>
      </x:c>
      <x:c r="C6" s="38" t="str">
        <x:v>See generated grid block</x:v>
      </x:c>
      <x:c r="D6" s="38" t="str">
        <x:v>Revenue CAGR</x:v>
      </x:c>
      <x:c r="E6" s="38" t="str">
        <x:v>EBITDA Margin</x:v>
      </x:c>
      <x:c r="F6" s="38" t="str">
        <x:v>MOIC</x:v>
      </x:c>
    </x:row>
    <x:row r="7" ht="15" hidden="0" customHeight="1">
      <x:c r="A7" s="38" t="n">
        <x:v>4</x:v>
      </x:c>
      <x:c r="B7" s="38" t="str">
        <x:v>Sensitivity Tables</x:v>
      </x:c>
      <x:c r="C7" s="38" t="str">
        <x:v>See generated grid block</x:v>
      </x:c>
      <x:c r="D7" s="38" t="str">
        <x:v>Tax Rate</x:v>
      </x:c>
      <x:c r="E7" s="38" t="str">
        <x:v>Capex % Revenue</x:v>
      </x:c>
      <x:c r="F7" s="38" t="str">
        <x:v>IRR</x:v>
      </x:c>
    </x:row>
    <x:row r="8" ht="15" hidden="0" customHeight="1">
      <x:c r="A8" s="38" t="n">
        <x:v>5</x:v>
      </x:c>
      <x:c r="B8" s="38" t="str">
        <x:v>Sensitivity Tables</x:v>
      </x:c>
      <x:c r="C8" s="38" t="str">
        <x:v>See generated grid block</x:v>
      </x:c>
      <x:c r="D8" s="38" t="str">
        <x:v>Cash Sweep</x:v>
      </x:c>
      <x:c r="E8" s="38" t="str">
        <x:v>Senior Rate</x:v>
      </x:c>
      <x:c r="F8" s="38" t="str">
        <x:v>MOIC</x:v>
      </x:c>
    </x:row>
    <x:row r="9" ht="15" hidden="0" customHeight="1">
      <x:c r="A9" s="38" t="n">
        <x:v>6</x:v>
      </x:c>
      <x:c r="B9" s="38" t="str">
        <x:v>Sensitivity Tables</x:v>
      </x:c>
      <x:c r="C9" s="38" t="str">
        <x:v>See generated grid block</x:v>
      </x:c>
      <x:c r="D9" s="38" t="str">
        <x:v>NWC % Revenue</x:v>
      </x:c>
      <x:c r="E9" s="38" t="str">
        <x:v>EBITDA Margin Expansion</x:v>
      </x:c>
      <x:c r="F9" s="38" t="str">
        <x:v>IRR</x:v>
      </x:c>
    </x:row>
    <x:row r="10" ht="15" hidden="0" customHeight="1">
      <x:c r="A10" s="38" t="n">
        <x:v>7</x:v>
      </x:c>
      <x:c r="B10" s="38" t="str">
        <x:v>Sensitivity Tables</x:v>
      </x:c>
      <x:c r="C10" s="38" t="str">
        <x:v>See generated grid block</x:v>
      </x:c>
      <x:c r="D10" s="38" t="str">
        <x:v>Exit Multiple</x:v>
      </x:c>
      <x:c r="E10" s="38" t="str">
        <x:v>Sub Debt Multiple</x:v>
      </x:c>
      <x:c r="F10" s="38" t="str">
        <x:v>MOIC</x:v>
      </x:c>
    </x:row>
    <x:row r="11" ht="15" hidden="0" customHeight="1">
      <x:c r="A11" s="38" t="n">
        <x:v>8</x:v>
      </x:c>
      <x:c r="B11" s="38" t="str">
        <x:v>Sensitivity Tables</x:v>
      </x:c>
      <x:c r="C11" s="38" t="str">
        <x:v>See generated grid block</x:v>
      </x:c>
      <x:c r="D11" s="38" t="str">
        <x:v>Entry Fees</x:v>
      </x:c>
      <x:c r="E11" s="38" t="str">
        <x:v>Exit Fees</x:v>
      </x:c>
      <x:c r="F11" s="38" t="str">
        <x:v>IRR</x:v>
      </x:c>
    </x:row>
    <x:row r="12" ht="15" hidden="0" customHeight="1">
      <x:c r="A12" s="38" t="n">
        <x:v>9</x:v>
      </x:c>
      <x:c r="B12" s="38" t="str">
        <x:v>Sensitivity Tables</x:v>
      </x:c>
      <x:c r="C12" s="38" t="str">
        <x:v>See generated grid block</x:v>
      </x:c>
      <x:c r="D12" s="38" t="str">
        <x:v>Revenue CAGR</x:v>
      </x:c>
      <x:c r="E12" s="38" t="str">
        <x:v>Exit Multiple</x:v>
      </x:c>
      <x:c r="F12" s="38" t="str">
        <x:v>MOIC</x:v>
      </x:c>
    </x:row>
    <x:row r="13" ht="15" hidden="0" customHeight="1">
      <x:c r="A13" s="38" t="n">
        <x:v>10</x:v>
      </x:c>
      <x:c r="B13" s="38" t="str">
        <x:v>Sensitivity Tables</x:v>
      </x:c>
      <x:c r="C13" s="38" t="str">
        <x:v>See generated grid block</x:v>
      </x:c>
      <x:c r="D13" s="38" t="str">
        <x:v>EBITDA Margin</x:v>
      </x:c>
      <x:c r="E13" s="38" t="str">
        <x:v>Senior Debt Multiple</x:v>
      </x:c>
      <x:c r="F13" s="38" t="str">
        <x:v>IRR</x:v>
      </x:c>
    </x:row>
    <x:row r="14" ht="15" hidden="0" customHeight="1">
      <x:c r="A14" s="38" t="n">
        <x:v>11</x:v>
      </x:c>
      <x:c r="B14" s="38" t="str">
        <x:v>Sensitivity Tables</x:v>
      </x:c>
      <x:c r="C14" s="38" t="str">
        <x:v>See generated grid block</x:v>
      </x:c>
      <x:c r="D14" s="38" t="str">
        <x:v>PIK Rate</x:v>
      </x:c>
      <x:c r="E14" s="38" t="str">
        <x:v>Sub Rate</x:v>
      </x:c>
      <x:c r="F14" s="38" t="str">
        <x:v>MOIC</x:v>
      </x:c>
    </x:row>
    <x:row r="15" ht="15" hidden="0" customHeight="1">
      <x:c r="A15" s="38" t="n">
        <x:v>12</x:v>
      </x:c>
      <x:c r="B15" s="38" t="str">
        <x:v>Sensitivity Tables</x:v>
      </x:c>
      <x:c r="C15" s="38" t="str">
        <x:v>See generated grid block</x:v>
      </x:c>
      <x:c r="D15" s="38" t="str">
        <x:v>D&amp;A % Revenue</x:v>
      </x:c>
      <x:c r="E15" s="38" t="str">
        <x:v>Tax Rate</x:v>
      </x:c>
      <x:c r="F15" s="38" t="str">
        <x:v>IRR</x:v>
      </x:c>
    </x:row>
    <x:row r="16" ht="15" hidden="0" customHeight="1">
      <x:c r="A16" s="38" t="n">
        <x:v>13</x:v>
      </x:c>
      <x:c r="B16" s="38" t="str">
        <x:v>Sensitivity Tables</x:v>
      </x:c>
      <x:c r="C16" s="38" t="str">
        <x:v>See generated grid block</x:v>
      </x:c>
      <x:c r="D16" s="38" t="str">
        <x:v>Exit Multiple</x:v>
      </x:c>
      <x:c r="E16" s="38" t="str">
        <x:v>Cash Sweep</x:v>
      </x:c>
      <x:c r="F16" s="38" t="str">
        <x:v>MOIC</x:v>
      </x:c>
    </x:row>
    <x:row r="17" ht="15" hidden="0" customHeight="1">
      <x:c r="A17" s="38" t="n">
        <x:v>14</x:v>
      </x:c>
      <x:c r="B17" s="38" t="str">
        <x:v>Sensitivity Tables</x:v>
      </x:c>
      <x:c r="C17" s="38" t="str">
        <x:v>See generated grid block</x:v>
      </x:c>
      <x:c r="D17" s="38" t="str">
        <x:v>Purchase Multiple</x:v>
      </x:c>
      <x:c r="E17" s="38" t="str">
        <x:v>Senior Rate</x:v>
      </x:c>
      <x:c r="F17" s="38" t="str">
        <x:v>IRR</x:v>
      </x:c>
    </x:row>
    <x:row r="18" ht="15" hidden="0" customHeight="1">
      <x:c r="A18" s="38" t="n">
        <x:v>15</x:v>
      </x:c>
      <x:c r="B18" s="38" t="str">
        <x:v>Sensitivity Tables</x:v>
      </x:c>
      <x:c r="C18" s="38" t="str">
        <x:v>See generated grid block</x:v>
      </x:c>
      <x:c r="D18" s="38" t="str">
        <x:v>Revenue CAGR</x:v>
      </x:c>
      <x:c r="E18" s="38" t="str">
        <x:v>NWC % Revenue</x:v>
      </x:c>
      <x:c r="F18" s="38" t="str">
        <x:v>MOIC</x:v>
      </x:c>
    </x:row>
    <x:row r="19" ht="15" hidden="0" customHeight="1">
      <x:c r="A19" s="38" t="n">
        <x:v>16</x:v>
      </x:c>
      <x:c r="B19" s="38" t="str">
        <x:v>Sensitivity Tables</x:v>
      </x:c>
      <x:c r="C19" s="38" t="str">
        <x:v>See generated grid block</x:v>
      </x:c>
      <x:c r="D19" s="38" t="str">
        <x:v>EBITDA Margin</x:v>
      </x:c>
      <x:c r="E19" s="38" t="str">
        <x:v>Exit Fees</x:v>
      </x:c>
      <x:c r="F19" s="38" t="str">
        <x:v>IRR</x:v>
      </x:c>
    </x:row>
    <x:row r="20" ht="15" hidden="0" customHeight="1">
      <x:c r="A20" s="38" t="n">
        <x:v>17</x:v>
      </x:c>
      <x:c r="B20" s="38" t="str">
        <x:v>Sensitivity Tables</x:v>
      </x:c>
      <x:c r="C20" s="38" t="str">
        <x:v>See generated grid block</x:v>
      </x:c>
      <x:c r="D20" s="38" t="str">
        <x:v>Exit Multiple</x:v>
      </x:c>
      <x:c r="E20" s="38" t="str">
        <x:v>Hold Period Proxy</x:v>
      </x:c>
      <x:c r="F20" s="38" t="str">
        <x:v>MOIC</x:v>
      </x:c>
    </x:row>
    <x:row r="21" ht="15" hidden="0" customHeight="1">
      <x:c r="A21" s="38" t="n">
        <x:v>18</x:v>
      </x:c>
      <x:c r="B21" s="38" t="str">
        <x:v>Sensitivity Tables</x:v>
      </x:c>
      <x:c r="C21" s="38" t="str">
        <x:v>See generated grid block</x:v>
      </x:c>
      <x:c r="D21" s="38" t="str">
        <x:v>Management Rollover</x:v>
      </x:c>
      <x:c r="E21" s="38" t="str">
        <x:v>Exit Multiple</x:v>
      </x:c>
      <x:c r="F21" s="38" t="str">
        <x:v>IRR</x:v>
      </x:c>
    </x:row>
    <x:row r="22" ht="15" hidden="0" customHeight="1">
      <x:c r="A22" s="38" t="n">
        <x:v>19</x:v>
      </x:c>
      <x:c r="B22" s="38" t="str">
        <x:v>Sensitivity Tables</x:v>
      </x:c>
      <x:c r="C22" s="38" t="str">
        <x:v>See generated grid block</x:v>
      </x:c>
      <x:c r="D22" s="38" t="str">
        <x:v>Capex % Revenue</x:v>
      </x:c>
      <x:c r="E22" s="38" t="str">
        <x:v>Cash Sweep</x:v>
      </x:c>
      <x:c r="F22" s="38" t="str">
        <x:v>MOIC</x:v>
      </x:c>
    </x:row>
    <x:row r="23" ht="15" hidden="0" customHeight="1">
      <x:c r="A23" s="38" t="n">
        <x:v>20</x:v>
      </x:c>
      <x:c r="B23" s="38" t="str">
        <x:v>Sensitivity Tables</x:v>
      </x:c>
      <x:c r="C23" s="38" t="str">
        <x:v>See generated grid block</x:v>
      </x:c>
      <x:c r="D23" s="38" t="str">
        <x:v>Revenue CAGR</x:v>
      </x:c>
      <x:c r="E23" s="38" t="str">
        <x:v>Purchase Multiple</x:v>
      </x:c>
      <x:c r="F23" s="38" t="str">
        <x:v>IRR</x:v>
      </x:c>
    </x:row>
    <x:row r="24" ht="15" hidden="0" customHeight="1">
      <x:c r="A24" s="38" t="n">
        <x:v>21</x:v>
      </x:c>
      <x:c r="B24" s="38" t="str">
        <x:v>Sensitivity Tables</x:v>
      </x:c>
      <x:c r="C24" s="38" t="str">
        <x:v>See generated grid block</x:v>
      </x:c>
      <x:c r="D24" s="38" t="str">
        <x:v>Senior Debt</x:v>
      </x:c>
      <x:c r="E24" s="38" t="str">
        <x:v>Sub Debt</x:v>
      </x:c>
      <x:c r="F24" s="38" t="str">
        <x:v>MOIC</x:v>
      </x:c>
    </x:row>
    <x:row r="25" ht="15" hidden="0" customHeight="1">
      <x:c r="A25" s="38" t="n">
        <x:v>22</x:v>
      </x:c>
      <x:c r="B25" s="38" t="str">
        <x:v>Sensitivity Tables</x:v>
      </x:c>
      <x:c r="C25" s="38" t="str">
        <x:v>See generated grid block</x:v>
      </x:c>
      <x:c r="D25" s="38" t="str">
        <x:v>Terminal EBITDA</x:v>
      </x:c>
      <x:c r="E25" s="38" t="str">
        <x:v>Exit Multiple</x:v>
      </x:c>
      <x:c r="F25" s="38" t="str">
        <x:v>MOIC</x:v>
      </x:c>
    </x:row>
    <x:row r="26" ht="15" hidden="0" customHeight="1">
      <x:c r="A26" s="38" t="n">
        <x:v>23</x:v>
      </x:c>
      <x:c r="B26" s="38" t="str">
        <x:v>Sensitivity Tables</x:v>
      </x:c>
      <x:c r="C26" s="38" t="str">
        <x:v>See generated grid block</x:v>
      </x:c>
      <x:c r="D26" s="38" t="str">
        <x:v>Enterprise Value</x:v>
      </x:c>
      <x:c r="E26" s="38" t="str">
        <x:v>Exit Debt</x:v>
      </x:c>
      <x:c r="F26" s="38" t="str">
        <x:v>IRR</x:v>
      </x:c>
    </x:row>
    <x:row r="27" ht="15" hidden="0" customHeight="1">
      <x:c r="A27" s="38" t="n">
        <x:v>24</x:v>
      </x:c>
      <x:c r="B27" s="38" t="str">
        <x:v>Sensitivity Tables</x:v>
      </x:c>
      <x:c r="C27" s="38" t="str">
        <x:v>See generated grid block</x:v>
      </x:c>
      <x:c r="D27" s="38" t="str">
        <x:v>FCF Yield</x:v>
      </x:c>
      <x:c r="E27" s="38" t="str">
        <x:v>Exit Multiple</x:v>
      </x:c>
      <x:c r="F27" s="38" t="str">
        <x:v>MOIC</x:v>
      </x:c>
    </x:row>
  </x:sheetData>
  <x:mergeCells>
    <x:mergeCell ref="A1:H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559999465942383" hidden="0" customWidth="1"/>
    <x:col min="2" max="2" width="5.110000133514404" hidden="0" customWidth="1"/>
    <x:col min="3" max="3" width="7.440000057220459" hidden="0" customWidth="1"/>
    <x:col min="4" max="4" width="7.889999866485596" hidden="0" customWidth="1"/>
    <x:col min="5" max="5" width="7.559999942779541" hidden="0" customWidth="1"/>
    <x:col min="6" max="6" width="5.21999979019165" hidden="0" customWidth="1"/>
    <x:col min="7" max="7" width="41.220001220703125" hidden="0" customWidth="1"/>
  </x:cols>
  <x:sheetData>
    <x:row r="1" ht="19.200000762939453" hidden="0" customHeight="1">
      <x:c r="A1" s="6" t="str">
        <x:v>Checks</x:v>
      </x:c>
      <x:c r="B1" s="6"/>
      <x:c r="C1" s="6"/>
      <x:c r="D1" s="6"/>
      <x:c r="E1" s="6"/>
      <x:c r="F1" s="6"/>
      <x:c r="G1" s="6"/>
      <x:c r="H1" s="6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/>
    <x:row r="3" ht="15" hidden="0" customHeight="1">
      <x:c r="A3" s="20" t="str">
        <x:v>Check</x:v>
      </x:c>
      <x:c r="B3" s="21" t="str">
        <x:v>Actual</x:v>
      </x:c>
      <x:c r="C3" s="21" t="str">
        <x:v>Expected</x:v>
      </x:c>
      <x:c r="D3" s="21" t="str">
        <x:v>Difference</x:v>
      </x:c>
      <x:c r="E3" s="21" t="str">
        <x:v>Tolerance</x:v>
      </x:c>
      <x:c r="F3" s="21" t="str">
        <x:v>Status</x:v>
      </x:c>
      <x:c r="G3" s="22" t="str">
        <x:v>Notes</x:v>
      </x:c>
    </x:row>
    <x:row r="4" ht="15" hidden="0" customHeight="1">
      <x:c r="A4" t="str">
        <x:v>Sources equal uses</x:v>
      </x:c>
      <x:c r="B4" s="41" t="n">
        <x:f>'Debt Schedule'!B17</x:f>
        <x:v>0</x:v>
      </x:c>
      <x:c r="C4" s="41" t="n">
        <x:f>0</x:f>
        <x:v>0</x:v>
      </x:c>
      <x:c r="D4" s="41" t="n">
        <x:f>B4-C4</x:f>
        <x:v>0</x:v>
      </x:c>
      <x:c r="E4" s="41" t="n">
        <x:f>0.01</x:f>
        <x:v>0.01</x:v>
      </x:c>
      <x:c r="F4" s="43" t="str">
        <x:f>IF(ABS(D4)&lt;=E4,"OK","FAIL")</x:f>
        <x:v>OK</x:v>
      </x:c>
      <x:c r="G4" t="str">
        <x:v>Entry capitalization should balance.</x:v>
      </x:c>
    </x:row>
    <x:row r="5" ht="15" hidden="0" customHeight="1">
      <x:c r="A5" t="str">
        <x:v>Debt roll-forward sign</x:v>
      </x:c>
      <x:c r="B5" s="41" t="n">
        <x:f>MIN('Debt Schedule'!B30:G30)</x:f>
        <x:v>18.03375</x:v>
      </x:c>
      <x:c r="C5" s="41" t="n">
        <x:f>0</x:f>
        <x:v>0</x:v>
      </x:c>
      <x:c r="D5" s="41" t="n">
        <x:f>B5-C5</x:f>
        <x:v>18.03375</x:v>
      </x:c>
      <x:c r="E5" s="41" t="n">
        <x:f>0.01</x:f>
        <x:v>0.01</x:v>
      </x:c>
      <x:c r="F5" s="43" t="str">
        <x:f>IF(B5&gt;=0,"OK","FAIL")</x:f>
        <x:v>OK</x:v>
      </x:c>
      <x:c r="G5" t="str">
        <x:v>Debt should not become negative.</x:v>
      </x:c>
    </x:row>
    <x:row r="6" ht="15" hidden="0" customHeight="1">
      <x:c r="A6" t="str">
        <x:v>NWC check</x:v>
      </x:c>
      <x:c r="B6" s="41" t="n">
        <x:f>SUM('Operating Model'!B21:G21)</x:f>
        <x:v>0</x:v>
      </x:c>
      <x:c r="C6" s="41" t="n">
        <x:f>0</x:f>
        <x:v>0</x:v>
      </x:c>
      <x:c r="D6" s="41" t="n">
        <x:f>B6-C6</x:f>
        <x:v>0</x:v>
      </x:c>
      <x:c r="E6" s="41" t="n">
        <x:f>0.01</x:f>
        <x:v>0.01</x:v>
      </x:c>
      <x:c r="F6" s="43" t="str">
        <x:f>IF(ABS(D6)&lt;=E6,"OK","FAIL")</x:f>
        <x:v>OK</x:v>
      </x:c>
      <x:c r="G6" t="str">
        <x:v>NWC change helper row should tie.</x:v>
      </x:c>
    </x:row>
    <x:row r="7" ht="15" hidden="0" customHeight="1">
      <x:c r="A7" t="str">
        <x:v>MOIC positive</x:v>
      </x:c>
      <x:c r="B7" s="41" t="n">
        <x:f>'Returns'!B21</x:f>
        <x:v>0.09633120761120728</x:v>
      </x:c>
      <x:c r="C7" s="41" t="n">
        <x:f>1</x:f>
        <x:v>1</x:v>
      </x:c>
      <x:c r="D7" s="41" t="n">
        <x:f>B7-C7</x:f>
        <x:v>-0.9036687923887927</x:v>
      </x:c>
      <x:c r="E7" s="41" t="n">
        <x:f>0</x:f>
        <x:v>0</x:v>
      </x:c>
      <x:c r="F7" s="43" t="str">
        <x:f>IF(B7&gt;C7,"OK","FAIL")</x:f>
        <x:v>FAIL</x:v>
      </x:c>
      <x:c r="G7" t="str">
        <x:v>MOIC should be above 1.0x in base case.</x:v>
      </x:c>
    </x:row>
    <x:row r="8" ht="15" hidden="0" customHeight="1">
      <x:c r="A8" t="str">
        <x:v>IRR not error</x:v>
      </x:c>
      <x:c r="B8" s="41" t="n">
        <x:f>'Returns'!B22</x:f>
        <x:v>0.12</x:v>
      </x:c>
      <x:c r="C8" s="41" t="n">
        <x:f>0</x:f>
        <x:v>0</x:v>
      </x:c>
      <x:c r="D8" s="41" t="n">
        <x:f>B8-C8</x:f>
        <x:v>0.12</x:v>
      </x:c>
      <x:c r="E8" s="41" t="n">
        <x:f>0</x:f>
        <x:v>0</x:v>
      </x:c>
      <x:c r="F8" s="43" t="str">
        <x:f>IF(ISNUMBER(B8),"OK","FAIL")</x:f>
        <x:v>OK</x:v>
      </x:c>
      <x:c r="G8" t="str">
        <x:v>IRR must resolve to a number.</x:v>
      </x:c>
    </x:row>
    <x:row r="9" ht="15" hidden="0" customHeight="1">
      <x:c r="A9" t="str">
        <x:v>Sensitivity tables populated</x:v>
      </x:c>
      <x:c r="B9" s="41" t="n">
        <x:f>COUNTA('Sensitivity Tables'!A1:Z100)</x:f>
        <x:v>655</x:v>
      </x:c>
      <x:c r="C9" s="41" t="n">
        <x:f>1</x:f>
        <x:v>1</x:v>
      </x:c>
      <x:c r="D9" s="41" t="n">
        <x:f>B9-C9</x:f>
        <x:v>654</x:v>
      </x:c>
      <x:c r="E9" s="41" t="n">
        <x:f>0</x:f>
        <x:v>0</x:v>
      </x:c>
      <x:c r="F9" s="43" t="str">
        <x:f>IF(B9&gt;C9,"OK","FAIL")</x:f>
        <x:v>OK</x:v>
      </x:c>
      <x:c r="G9" t="str">
        <x:v>Sensitivity grid area must contain formulas/values.</x:v>
      </x:c>
    </x:row>
    <x:row r="10" ht="15" hidden="0" customHeight="1">
      <x:c r="A10" t="str">
        <x:v>Formula-preserving fixture</x:v>
      </x:c>
      <x:c r="B10" s="41" t="n">
        <x:f>0</x:f>
        <x:v>0</x:v>
      </x:c>
      <x:c r="C10" s="41" t="n">
        <x:f>0</x:f>
        <x:v>0</x:v>
      </x:c>
      <x:c r="D10" s="41" t="n">
        <x:f>B10-C10</x:f>
        <x:v>0</x:v>
      </x:c>
      <x:c r="E10" s="41" t="n">
        <x:f>0</x:f>
        <x:v>0</x:v>
      </x:c>
      <x:c r="F10" s="43" t="str">
        <x:f>IF(ABS(D10)&lt;=E10,"OK","FAIL")</x:f>
        <x:v>OK</x:v>
      </x:c>
      <x:c r="G10" t="str">
        <x:v>The fixture does not use native Excel DataTable objects.</x:v>
      </x:c>
    </x:row>
    <x:row r="11" ht="15" hidden="0" customHeight="1">
      <x:c r="F11" s="43"/>
    </x:row>
    <x:row r="12" ht="15" hidden="0" customHeight="1">
      <x:c r="A12" t="str">
        <x:v>Overall Status</x:v>
      </x:c>
      <x:c r="B12"/>
      <x:c r="C12"/>
      <x:c r="D12"/>
      <x:c r="E12"/>
      <x:c r="F12" s="43" t="str">
        <x:f>IF(COUNTIF(F4:F10,"FAIL")=0,"OK","FAIL")</x:f>
        <x:v>FAIL</x:v>
      </x:c>
    </x:row>
  </x:sheetData>
  <x:mergeCells>
    <x:mergeCell ref="A1:H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559999465942383" hidden="0" customWidth="1"/>
    <x:col min="2" max="2" width="17.110000610351562" hidden="0" customWidth="1"/>
    <x:col min="3" max="3" width="6.559999942779541" hidden="0" customWidth="1"/>
    <x:col min="4" max="4" width="29.780000686645508" hidden="0" customWidth="1"/>
    <x:col min="5" max="5" width="55.88999938964844" hidden="0" customWidth="1"/>
  </x:cols>
  <x:sheetData>
    <x:row r="1" ht="19.200000762939453" hidden="0" customHeight="1">
      <x:c r="A1" s="6" t="str">
        <x:v>Sources Audit</x:v>
      </x:c>
      <x:c r="B1" s="6"/>
      <x:c r="C1" s="6"/>
      <x:c r="D1" s="6"/>
      <x:c r="E1" s="6"/>
      <x:c r="F1" s="6"/>
      <x:c r="G1" s="6"/>
      <x:c r="H1" s="6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/>
    <x:row r="3" ht="15" hidden="0" customHeight="1">
      <x:c r="A3" s="20" t="str">
        <x:v>Item</x:v>
      </x:c>
      <x:c r="B3" s="21" t="str">
        <x:v>Value</x:v>
      </x:c>
      <x:c r="C3" s="21" t="str">
        <x:v>Units</x:v>
      </x:c>
      <x:c r="D3" s="21" t="str">
        <x:v>Source</x:v>
      </x:c>
      <x:c r="E3" s="22" t="str">
        <x:v>Notes</x:v>
      </x:c>
    </x:row>
    <x:row r="4" ht="15" hidden="0" customHeight="1">
      <x:c r="A4" s="12" t="str">
        <x:v>All financial values</x:v>
      </x:c>
      <x:c r="B4" s="12" t="str">
        <x:v>Synthetic</x:v>
      </x:c>
      <x:c r="C4" s="12" t="str">
        <x:v>$mm</x:v>
      </x:c>
      <x:c r="D4" s="12" t="str">
        <x:v>Generated by WarpSpeed fixture builder</x:v>
      </x:c>
      <x:c r="E4" s="12" t="str">
        <x:v>Not company-specific; designed for calculation engine regression.</x:v>
      </x:c>
    </x:row>
    <x:row r="5" ht="15" hidden="0" customHeight="1">
      <x:c r="A5" s="12" t="str">
        <x:v>LBO structure</x:v>
      </x:c>
      <x:c r="B5" s="12" t="str">
        <x:v>Synthetic</x:v>
      </x:c>
      <x:c r="C5" s="12" t="str">
        <x:v>N/A</x:v>
      </x:c>
      <x:c r="D5" s="12" t="str">
        <x:v>Internal test model</x:v>
      </x:c>
      <x:c r="E5" s="12" t="str">
        <x:v>Includes sponsor equity, debt schedule, operating forecast, and returns.</x:v>
      </x:c>
    </x:row>
    <x:row r="6" ht="15" hidden="0" customHeight="1">
      <x:c r="A6" s="12" t="str">
        <x:v>Sensitivity tables</x:v>
      </x:c>
      <x:c r="B6" s="12" t="n">
        <x:v>24</x:v>
      </x:c>
      <x:c r="C6" s="12" t="str">
        <x:v>tables</x:v>
      </x:c>
      <x:c r="D6" s="12" t="str">
        <x:v>Internal test model</x:v>
      </x:c>
      <x:c r="E6" s="12" t="str">
        <x:v>Formula grids stress cross-sheet references and repeated recalculation.</x:v>
      </x:c>
    </x:row>
    <x:row r="7" ht="15" hidden="0" customHeight="1">
      <x:c r="A7" s="12" t="str">
        <x:v>Data table caveat</x:v>
      </x:c>
      <x:c r="B7" s="12" t="str">
        <x:v>Formula grids</x:v>
      </x:c>
      <x:c r="C7" s="12" t="str">
        <x:v>N/A</x:v>
      </x:c>
      <x:c r="D7" s="12" t="str">
        <x:v>Internal test model</x:v>
      </x:c>
      <x:c r="E7" s="12" t="str">
        <x:v>Artifact builder does not create native Excel DataTable objects in this fixture.</x:v>
      </x:c>
    </x:row>
    <x:row r="8" ht="15" hidden="0" customHeight="1">
      <x:c r="A8" s="12" t="str">
        <x:v>No external links</x:v>
      </x:c>
      <x:c r="B8" s="12" t="str">
        <x:v>TRUE</x:v>
      </x:c>
      <x:c r="C8" s="12" t="str">
        <x:v>Boolean</x:v>
      </x:c>
      <x:c r="D8" s="12" t="str">
        <x:v>Internal test model</x:v>
      </x:c>
      <x:c r="E8" s="12" t="str">
        <x:v>Useful for isolating IronCalc support before external-link fallback tests.</x:v>
      </x:c>
    </x:row>
    <x:row r="9" ht="15" hidden="0" customHeight="1">
      <x:c r="A9" s="12" t="str">
        <x:v>No VBA/macros</x:v>
      </x:c>
      <x:c r="B9" s="12" t="str">
        <x:v>TRUE</x:v>
      </x:c>
      <x:c r="C9" s="12" t="str">
        <x:v>Boolean</x:v>
      </x:c>
      <x:c r="D9" s="12" t="str">
        <x:v>Internal test model</x:v>
      </x:c>
      <x:c r="E9" s="12" t="str">
        <x:v>Workbook is .xlsx only.</x:v>
      </x:c>
    </x:row>
    <x:row r="10" ht="15" hidden="0" customHeight="1">
      <x:c r="A10" s="12" t="str">
        <x:v>Input convention</x:v>
      </x:c>
      <x:c r="B10" s="12" t="str">
        <x:v>Blue/yellow</x:v>
      </x:c>
      <x:c r="C10" s="12" t="str">
        <x:v>Style</x:v>
      </x:c>
      <x:c r="D10" s="12" t="str">
        <x:v>Financial modeling convention</x:v>
      </x:c>
      <x:c r="E10" s="12" t="str">
        <x:v>Editable assumptions are visually tagged.</x:v>
      </x:c>
    </x:row>
    <x:row r="11" ht="15" hidden="0" customHeight="1">
      <x:c r="A11" s="12" t="str">
        <x:v>Formula convention</x:v>
      </x:c>
      <x:c r="B11" s="12" t="str">
        <x:v>Black/green</x:v>
      </x:c>
      <x:c r="C11" s="12" t="str">
        <x:v>Style</x:v>
      </x:c>
      <x:c r="D11" s="12" t="str">
        <x:v>Financial modeling convention</x:v>
      </x:c>
      <x:c r="E11" s="12" t="str">
        <x:v>Cross-sheet links are green; formulas are preserved.</x:v>
      </x:c>
    </x:row>
    <x:row r="12" ht="15" hidden="0" customHeight="1">
      <x:c r="A12" s="12" t="str">
        <x:v>Use case</x:v>
      </x:c>
      <x:c r="B12" s="12" t="str">
        <x:v>WarpSpeed regression</x:v>
      </x:c>
      <x:c r="C12" s="12" t="str">
        <x:v>N/A</x:v>
      </x:c>
      <x:c r="D12" s="12" t="str">
        <x:v>Internal test model</x:v>
      </x:c>
      <x:c r="E12" s="12" t="str">
        <x:v>Large enough to profile formula coverage and sensitivity recalc paths.</x:v>
      </x:c>
    </x:row>
  </x:sheetData>
  <x:mergeCells>
    <x:mergeCell ref="A1:H1"/>
  </x:mergeCells>
  <x:pageMargins left="0.7" right="0.7" top="0.75" bottom="0.75" header="0.3" footer="0.3"/>
</x:worksheet>
</file>